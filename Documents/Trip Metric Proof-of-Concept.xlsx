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EVDCFastChargingResearch/Shared Documents/General/Trip Metric/"/>
    </mc:Choice>
  </mc:AlternateContent>
  <xr:revisionPtr revIDLastSave="1325" documentId="8_{163980F5-0FAE-40F8-B44F-3BA47DAB69D5}" xr6:coauthVersionLast="47" xr6:coauthVersionMax="47" xr10:uidLastSave="{5C0EEC6C-574C-4C2A-94F5-A48B4A8C4AE1}"/>
  <bookViews>
    <workbookView xWindow="19080" yWindow="4620" windowWidth="19440" windowHeight="10320" xr2:uid="{138576D2-1A2E-4B4E-BF5F-6B8CDED78307}"/>
  </bookViews>
  <sheets>
    <sheet name="Summary" sheetId="7" r:id="rId1"/>
    <sheet name="Hyundai Ioniq 6" sheetId="6" r:id="rId2"/>
    <sheet name="Tesla Model Y" sheetId="2" r:id="rId3"/>
    <sheet name="Chevy Equinox" sheetId="3" r:id="rId4"/>
    <sheet name="Volvo EX30" sheetId="1" r:id="rId5"/>
    <sheet name="Volkswagen ID.4" sheetId="4" r:id="rId6"/>
    <sheet name="Ford Mustang Mach-e" sheetId="5" r:id="rId7"/>
    <sheet name="Ford F-150 Lightning" sheetId="8" r:id="rId8"/>
    <sheet name="Toyota bZ4X" sheetId="9" r:id="rId9"/>
  </sheets>
  <definedNames>
    <definedName name="_xlnm._FilterDatabase" localSheetId="0" hidden="1">Summary!$A$35:$B$43</definedName>
    <definedName name="solver_adj" localSheetId="3" hidden="1">'Chevy Equinox'!$G$9:$G$10</definedName>
    <definedName name="solver_adj" localSheetId="7" hidden="1">'Ford F-150 Lightning'!$G$9:$G$10</definedName>
    <definedName name="solver_adj" localSheetId="6" hidden="1">'Ford Mustang Mach-e'!$G$9:$G$10</definedName>
    <definedName name="solver_adj" localSheetId="1" hidden="1">'Hyundai Ioniq 6'!$G$9:$G$10</definedName>
    <definedName name="solver_adj" localSheetId="2" hidden="1">'Tesla Model Y'!$G$9:$G$10</definedName>
    <definedName name="solver_adj" localSheetId="8" hidden="1">'Toyota bZ4X'!$G$9:$G$10</definedName>
    <definedName name="solver_adj" localSheetId="5" hidden="1">'Volkswagen ID.4'!$G$9:$G$10</definedName>
    <definedName name="solver_adj" localSheetId="4" hidden="1">'Volvo EX30'!$G$9:$G$10</definedName>
    <definedName name="solver_cvg" localSheetId="3" hidden="1">0.0001</definedName>
    <definedName name="solver_cvg" localSheetId="7" hidden="1">0.0001</definedName>
    <definedName name="solver_cvg" localSheetId="6" hidden="1">0.0001</definedName>
    <definedName name="solver_cvg" localSheetId="1" hidden="1">0.0001</definedName>
    <definedName name="solver_cvg" localSheetId="2" hidden="1">0.0001</definedName>
    <definedName name="solver_cvg" localSheetId="8" hidden="1">0.0001</definedName>
    <definedName name="solver_cvg" localSheetId="5" hidden="1">0.0001</definedName>
    <definedName name="solver_cvg" localSheetId="4" hidden="1">0.0001</definedName>
    <definedName name="solver_drv" localSheetId="3" hidden="1">1</definedName>
    <definedName name="solver_drv" localSheetId="7" hidden="1">1</definedName>
    <definedName name="solver_drv" localSheetId="6" hidden="1">1</definedName>
    <definedName name="solver_drv" localSheetId="1" hidden="1">1</definedName>
    <definedName name="solver_drv" localSheetId="2" hidden="1">1</definedName>
    <definedName name="solver_drv" localSheetId="8" hidden="1">1</definedName>
    <definedName name="solver_drv" localSheetId="5" hidden="1">1</definedName>
    <definedName name="solver_drv" localSheetId="4" hidden="1">1</definedName>
    <definedName name="solver_eng" localSheetId="3" hidden="1">3</definedName>
    <definedName name="solver_eng" localSheetId="7" hidden="1">3</definedName>
    <definedName name="solver_eng" localSheetId="6" hidden="1">3</definedName>
    <definedName name="solver_eng" localSheetId="1" hidden="1">3</definedName>
    <definedName name="solver_eng" localSheetId="2" hidden="1">3</definedName>
    <definedName name="solver_eng" localSheetId="8" hidden="1">3</definedName>
    <definedName name="solver_eng" localSheetId="5" hidden="1">3</definedName>
    <definedName name="solver_eng" localSheetId="4" hidden="1">3</definedName>
    <definedName name="solver_est" localSheetId="3" hidden="1">1</definedName>
    <definedName name="solver_est" localSheetId="7" hidden="1">1</definedName>
    <definedName name="solver_est" localSheetId="6" hidden="1">1</definedName>
    <definedName name="solver_est" localSheetId="1" hidden="1">1</definedName>
    <definedName name="solver_est" localSheetId="2" hidden="1">1</definedName>
    <definedName name="solver_est" localSheetId="8" hidden="1">1</definedName>
    <definedName name="solver_est" localSheetId="5" hidden="1">1</definedName>
    <definedName name="solver_est" localSheetId="4" hidden="1">1</definedName>
    <definedName name="solver_itr" localSheetId="3" hidden="1">2147483647</definedName>
    <definedName name="solver_itr" localSheetId="7" hidden="1">2147483647</definedName>
    <definedName name="solver_itr" localSheetId="6" hidden="1">2147483647</definedName>
    <definedName name="solver_itr" localSheetId="1" hidden="1">2147483647</definedName>
    <definedName name="solver_itr" localSheetId="2" hidden="1">2147483647</definedName>
    <definedName name="solver_itr" localSheetId="8" hidden="1">2147483647</definedName>
    <definedName name="solver_itr" localSheetId="5" hidden="1">2147483647</definedName>
    <definedName name="solver_itr" localSheetId="4" hidden="1">2147483647</definedName>
    <definedName name="solver_lhs1" localSheetId="3" hidden="1">'Chevy Equinox'!$G$9</definedName>
    <definedName name="solver_lhs1" localSheetId="7" hidden="1">'Ford F-150 Lightning'!$G$9</definedName>
    <definedName name="solver_lhs1" localSheetId="6" hidden="1">'Ford Mustang Mach-e'!$G$9</definedName>
    <definedName name="solver_lhs1" localSheetId="1" hidden="1">'Hyundai Ioniq 6'!$G$9</definedName>
    <definedName name="solver_lhs1" localSheetId="2" hidden="1">'Tesla Model Y'!$G$9</definedName>
    <definedName name="solver_lhs1" localSheetId="8" hidden="1">'Toyota bZ4X'!$G$9</definedName>
    <definedName name="solver_lhs1" localSheetId="5" hidden="1">'Volkswagen ID.4'!$G$9</definedName>
    <definedName name="solver_lhs1" localSheetId="4" hidden="1">'Volvo EX30'!$G$9</definedName>
    <definedName name="solver_lhs2" localSheetId="3" hidden="1">'Chevy Equinox'!$G$9</definedName>
    <definedName name="solver_lhs2" localSheetId="7" hidden="1">'Ford F-150 Lightning'!$G$9</definedName>
    <definedName name="solver_lhs2" localSheetId="6" hidden="1">'Ford Mustang Mach-e'!$G$9</definedName>
    <definedName name="solver_lhs2" localSheetId="1" hidden="1">'Hyundai Ioniq 6'!$G$9</definedName>
    <definedName name="solver_lhs2" localSheetId="2" hidden="1">'Tesla Model Y'!$G$9</definedName>
    <definedName name="solver_lhs2" localSheetId="8" hidden="1">'Toyota bZ4X'!$G$9</definedName>
    <definedName name="solver_lhs2" localSheetId="5" hidden="1">'Volkswagen ID.4'!$G$9</definedName>
    <definedName name="solver_lhs2" localSheetId="4" hidden="1">'Volvo EX30'!$G$9</definedName>
    <definedName name="solver_mip" localSheetId="3" hidden="1">2147483647</definedName>
    <definedName name="solver_mip" localSheetId="7" hidden="1">2147483647</definedName>
    <definedName name="solver_mip" localSheetId="6" hidden="1">2147483647</definedName>
    <definedName name="solver_mip" localSheetId="1" hidden="1">2147483647</definedName>
    <definedName name="solver_mip" localSheetId="2" hidden="1">2147483647</definedName>
    <definedName name="solver_mip" localSheetId="8" hidden="1">2147483647</definedName>
    <definedName name="solver_mip" localSheetId="5" hidden="1">2147483647</definedName>
    <definedName name="solver_mip" localSheetId="4" hidden="1">2147483647</definedName>
    <definedName name="solver_mni" localSheetId="3" hidden="1">30</definedName>
    <definedName name="solver_mni" localSheetId="7" hidden="1">30</definedName>
    <definedName name="solver_mni" localSheetId="6" hidden="1">30</definedName>
    <definedName name="solver_mni" localSheetId="1" hidden="1">30</definedName>
    <definedName name="solver_mni" localSheetId="2" hidden="1">30</definedName>
    <definedName name="solver_mni" localSheetId="8" hidden="1">30</definedName>
    <definedName name="solver_mni" localSheetId="5" hidden="1">30</definedName>
    <definedName name="solver_mni" localSheetId="4" hidden="1">30</definedName>
    <definedName name="solver_mrt" localSheetId="3" hidden="1">0.075</definedName>
    <definedName name="solver_mrt" localSheetId="7" hidden="1">0.075</definedName>
    <definedName name="solver_mrt" localSheetId="6" hidden="1">0.075</definedName>
    <definedName name="solver_mrt" localSheetId="1" hidden="1">0.075</definedName>
    <definedName name="solver_mrt" localSheetId="2" hidden="1">0.075</definedName>
    <definedName name="solver_mrt" localSheetId="8" hidden="1">0.075</definedName>
    <definedName name="solver_mrt" localSheetId="5" hidden="1">0.075</definedName>
    <definedName name="solver_mrt" localSheetId="4" hidden="1">0.075</definedName>
    <definedName name="solver_msl" localSheetId="3" hidden="1">2</definedName>
    <definedName name="solver_msl" localSheetId="7" hidden="1">2</definedName>
    <definedName name="solver_msl" localSheetId="6" hidden="1">2</definedName>
    <definedName name="solver_msl" localSheetId="1" hidden="1">2</definedName>
    <definedName name="solver_msl" localSheetId="2" hidden="1">2</definedName>
    <definedName name="solver_msl" localSheetId="8" hidden="1">2</definedName>
    <definedName name="solver_msl" localSheetId="5" hidden="1">2</definedName>
    <definedName name="solver_msl" localSheetId="4" hidden="1">2</definedName>
    <definedName name="solver_neg" localSheetId="3" hidden="1">1</definedName>
    <definedName name="solver_neg" localSheetId="7" hidden="1">1</definedName>
    <definedName name="solver_neg" localSheetId="6" hidden="1">1</definedName>
    <definedName name="solver_neg" localSheetId="1" hidden="1">1</definedName>
    <definedName name="solver_neg" localSheetId="2" hidden="1">1</definedName>
    <definedName name="solver_neg" localSheetId="8" hidden="1">1</definedName>
    <definedName name="solver_neg" localSheetId="5" hidden="1">1</definedName>
    <definedName name="solver_neg" localSheetId="4" hidden="1">1</definedName>
    <definedName name="solver_nod" localSheetId="3" hidden="1">2147483647</definedName>
    <definedName name="solver_nod" localSheetId="7" hidden="1">2147483647</definedName>
    <definedName name="solver_nod" localSheetId="6" hidden="1">2147483647</definedName>
    <definedName name="solver_nod" localSheetId="1" hidden="1">2147483647</definedName>
    <definedName name="solver_nod" localSheetId="2" hidden="1">2147483647</definedName>
    <definedName name="solver_nod" localSheetId="8" hidden="1">2147483647</definedName>
    <definedName name="solver_nod" localSheetId="5" hidden="1">2147483647</definedName>
    <definedName name="solver_nod" localSheetId="4" hidden="1">2147483647</definedName>
    <definedName name="solver_num" localSheetId="3" hidden="1">0</definedName>
    <definedName name="solver_num" localSheetId="7" hidden="1">0</definedName>
    <definedName name="solver_num" localSheetId="6" hidden="1">0</definedName>
    <definedName name="solver_num" localSheetId="1" hidden="1">0</definedName>
    <definedName name="solver_num" localSheetId="2" hidden="1">0</definedName>
    <definedName name="solver_num" localSheetId="8" hidden="1">0</definedName>
    <definedName name="solver_num" localSheetId="5" hidden="1">0</definedName>
    <definedName name="solver_num" localSheetId="4" hidden="1">0</definedName>
    <definedName name="solver_nwt" localSheetId="3" hidden="1">1</definedName>
    <definedName name="solver_nwt" localSheetId="7" hidden="1">1</definedName>
    <definedName name="solver_nwt" localSheetId="6" hidden="1">1</definedName>
    <definedName name="solver_nwt" localSheetId="1" hidden="1">1</definedName>
    <definedName name="solver_nwt" localSheetId="2" hidden="1">1</definedName>
    <definedName name="solver_nwt" localSheetId="8" hidden="1">1</definedName>
    <definedName name="solver_nwt" localSheetId="5" hidden="1">1</definedName>
    <definedName name="solver_nwt" localSheetId="4" hidden="1">1</definedName>
    <definedName name="solver_opt" localSheetId="3" hidden="1">'Chevy Equinox'!$G$29</definedName>
    <definedName name="solver_opt" localSheetId="7" hidden="1">'Ford F-150 Lightning'!$G$24</definedName>
    <definedName name="solver_opt" localSheetId="6" hidden="1">'Ford Mustang Mach-e'!$G$24</definedName>
    <definedName name="solver_opt" localSheetId="1" hidden="1">'Hyundai Ioniq 6'!$G$39</definedName>
    <definedName name="solver_opt" localSheetId="2" hidden="1">'Tesla Model Y'!$G$29</definedName>
    <definedName name="solver_opt" localSheetId="8" hidden="1">'Toyota bZ4X'!$G$24</definedName>
    <definedName name="solver_opt" localSheetId="5" hidden="1">'Volkswagen ID.4'!$G$29</definedName>
    <definedName name="solver_opt" localSheetId="4" hidden="1">'Volvo EX30'!$G$29</definedName>
    <definedName name="solver_pre" localSheetId="3" hidden="1">0.000001</definedName>
    <definedName name="solver_pre" localSheetId="7" hidden="1">0.000001</definedName>
    <definedName name="solver_pre" localSheetId="6" hidden="1">0.000001</definedName>
    <definedName name="solver_pre" localSheetId="1" hidden="1">0.000001</definedName>
    <definedName name="solver_pre" localSheetId="2" hidden="1">0.000001</definedName>
    <definedName name="solver_pre" localSheetId="8" hidden="1">0.000001</definedName>
    <definedName name="solver_pre" localSheetId="5" hidden="1">0.000001</definedName>
    <definedName name="solver_pre" localSheetId="4" hidden="1">0.000001</definedName>
    <definedName name="solver_rbv" localSheetId="3" hidden="1">1</definedName>
    <definedName name="solver_rbv" localSheetId="7" hidden="1">1</definedName>
    <definedName name="solver_rbv" localSheetId="6" hidden="1">1</definedName>
    <definedName name="solver_rbv" localSheetId="1" hidden="1">1</definedName>
    <definedName name="solver_rbv" localSheetId="2" hidden="1">1</definedName>
    <definedName name="solver_rbv" localSheetId="8" hidden="1">1</definedName>
    <definedName name="solver_rbv" localSheetId="5" hidden="1">1</definedName>
    <definedName name="solver_rbv" localSheetId="4" hidden="1">1</definedName>
    <definedName name="solver_rel1" localSheetId="3" hidden="1">3</definedName>
    <definedName name="solver_rel1" localSheetId="7" hidden="1">3</definedName>
    <definedName name="solver_rel1" localSheetId="6" hidden="1">3</definedName>
    <definedName name="solver_rel1" localSheetId="1" hidden="1">3</definedName>
    <definedName name="solver_rel1" localSheetId="2" hidden="1">3</definedName>
    <definedName name="solver_rel1" localSheetId="8" hidden="1">3</definedName>
    <definedName name="solver_rel1" localSheetId="5" hidden="1">3</definedName>
    <definedName name="solver_rel1" localSheetId="4" hidden="1">3</definedName>
    <definedName name="solver_rel2" localSheetId="3" hidden="1">3</definedName>
    <definedName name="solver_rel2" localSheetId="7" hidden="1">3</definedName>
    <definedName name="solver_rel2" localSheetId="6" hidden="1">3</definedName>
    <definedName name="solver_rel2" localSheetId="1" hidden="1">3</definedName>
    <definedName name="solver_rel2" localSheetId="2" hidden="1">3</definedName>
    <definedName name="solver_rel2" localSheetId="8" hidden="1">3</definedName>
    <definedName name="solver_rel2" localSheetId="5" hidden="1">3</definedName>
    <definedName name="solver_rel2" localSheetId="4" hidden="1">3</definedName>
    <definedName name="solver_rhs1" localSheetId="3" hidden="1">0</definedName>
    <definedName name="solver_rhs1" localSheetId="7" hidden="1">0</definedName>
    <definedName name="solver_rhs1" localSheetId="6" hidden="1">0</definedName>
    <definedName name="solver_rhs1" localSheetId="1" hidden="1">0</definedName>
    <definedName name="solver_rhs1" localSheetId="2" hidden="1">0</definedName>
    <definedName name="solver_rhs1" localSheetId="8" hidden="1">0</definedName>
    <definedName name="solver_rhs1" localSheetId="5" hidden="1">0</definedName>
    <definedName name="solver_rhs1" localSheetId="4" hidden="1">0</definedName>
    <definedName name="solver_rhs2" localSheetId="3" hidden="1">0</definedName>
    <definedName name="solver_rhs2" localSheetId="7" hidden="1">0</definedName>
    <definedName name="solver_rhs2" localSheetId="6" hidden="1">0</definedName>
    <definedName name="solver_rhs2" localSheetId="1" hidden="1">0</definedName>
    <definedName name="solver_rhs2" localSheetId="2" hidden="1">0</definedName>
    <definedName name="solver_rhs2" localSheetId="8" hidden="1">0</definedName>
    <definedName name="solver_rhs2" localSheetId="5" hidden="1">0</definedName>
    <definedName name="solver_rhs2" localSheetId="4" hidden="1">0</definedName>
    <definedName name="solver_rlx" localSheetId="3" hidden="1">2</definedName>
    <definedName name="solver_rlx" localSheetId="7" hidden="1">2</definedName>
    <definedName name="solver_rlx" localSheetId="6" hidden="1">2</definedName>
    <definedName name="solver_rlx" localSheetId="1" hidden="1">2</definedName>
    <definedName name="solver_rlx" localSheetId="2" hidden="1">2</definedName>
    <definedName name="solver_rlx" localSheetId="8" hidden="1">2</definedName>
    <definedName name="solver_rlx" localSheetId="5" hidden="1">2</definedName>
    <definedName name="solver_rlx" localSheetId="4" hidden="1">2</definedName>
    <definedName name="solver_rsd" localSheetId="3" hidden="1">0</definedName>
    <definedName name="solver_rsd" localSheetId="7" hidden="1">0</definedName>
    <definedName name="solver_rsd" localSheetId="6" hidden="1">0</definedName>
    <definedName name="solver_rsd" localSheetId="1" hidden="1">0</definedName>
    <definedName name="solver_rsd" localSheetId="2" hidden="1">0</definedName>
    <definedName name="solver_rsd" localSheetId="8" hidden="1">0</definedName>
    <definedName name="solver_rsd" localSheetId="5" hidden="1">0</definedName>
    <definedName name="solver_rsd" localSheetId="4" hidden="1">0</definedName>
    <definedName name="solver_scl" localSheetId="3" hidden="1">1</definedName>
    <definedName name="solver_scl" localSheetId="7" hidden="1">1</definedName>
    <definedName name="solver_scl" localSheetId="6" hidden="1">1</definedName>
    <definedName name="solver_scl" localSheetId="1" hidden="1">1</definedName>
    <definedName name="solver_scl" localSheetId="2" hidden="1">1</definedName>
    <definedName name="solver_scl" localSheetId="8" hidden="1">1</definedName>
    <definedName name="solver_scl" localSheetId="5" hidden="1">1</definedName>
    <definedName name="solver_scl" localSheetId="4" hidden="1">1</definedName>
    <definedName name="solver_sho" localSheetId="3" hidden="1">2</definedName>
    <definedName name="solver_sho" localSheetId="7" hidden="1">2</definedName>
    <definedName name="solver_sho" localSheetId="6" hidden="1">2</definedName>
    <definedName name="solver_sho" localSheetId="1" hidden="1">2</definedName>
    <definedName name="solver_sho" localSheetId="2" hidden="1">2</definedName>
    <definedName name="solver_sho" localSheetId="8" hidden="1">2</definedName>
    <definedName name="solver_sho" localSheetId="5" hidden="1">2</definedName>
    <definedName name="solver_sho" localSheetId="4" hidden="1">2</definedName>
    <definedName name="solver_ssz" localSheetId="3" hidden="1">100</definedName>
    <definedName name="solver_ssz" localSheetId="7" hidden="1">100</definedName>
    <definedName name="solver_ssz" localSheetId="6" hidden="1">100</definedName>
    <definedName name="solver_ssz" localSheetId="1" hidden="1">100</definedName>
    <definedName name="solver_ssz" localSheetId="2" hidden="1">100</definedName>
    <definedName name="solver_ssz" localSheetId="8" hidden="1">100</definedName>
    <definedName name="solver_ssz" localSheetId="5" hidden="1">100</definedName>
    <definedName name="solver_ssz" localSheetId="4" hidden="1">100</definedName>
    <definedName name="solver_tim" localSheetId="3" hidden="1">2147483647</definedName>
    <definedName name="solver_tim" localSheetId="7" hidden="1">2147483647</definedName>
    <definedName name="solver_tim" localSheetId="6" hidden="1">2147483647</definedName>
    <definedName name="solver_tim" localSheetId="1" hidden="1">2147483647</definedName>
    <definedName name="solver_tim" localSheetId="2" hidden="1">2147483647</definedName>
    <definedName name="solver_tim" localSheetId="8" hidden="1">2147483647</definedName>
    <definedName name="solver_tim" localSheetId="5" hidden="1">2147483647</definedName>
    <definedName name="solver_tim" localSheetId="4" hidden="1">2147483647</definedName>
    <definedName name="solver_tol" localSheetId="3" hidden="1">0.01</definedName>
    <definedName name="solver_tol" localSheetId="7" hidden="1">0.01</definedName>
    <definedName name="solver_tol" localSheetId="6" hidden="1">0.01</definedName>
    <definedName name="solver_tol" localSheetId="1" hidden="1">0.01</definedName>
    <definedName name="solver_tol" localSheetId="2" hidden="1">0.01</definedName>
    <definedName name="solver_tol" localSheetId="8" hidden="1">0.01</definedName>
    <definedName name="solver_tol" localSheetId="5" hidden="1">0.01</definedName>
    <definedName name="solver_tol" localSheetId="4" hidden="1">0.01</definedName>
    <definedName name="solver_typ" localSheetId="3" hidden="1">2</definedName>
    <definedName name="solver_typ" localSheetId="7" hidden="1">2</definedName>
    <definedName name="solver_typ" localSheetId="6" hidden="1">2</definedName>
    <definedName name="solver_typ" localSheetId="1" hidden="1">2</definedName>
    <definedName name="solver_typ" localSheetId="2" hidden="1">2</definedName>
    <definedName name="solver_typ" localSheetId="8" hidden="1">2</definedName>
    <definedName name="solver_typ" localSheetId="5" hidden="1">2</definedName>
    <definedName name="solver_typ" localSheetId="4" hidden="1">2</definedName>
    <definedName name="solver_val" localSheetId="3" hidden="1">0</definedName>
    <definedName name="solver_val" localSheetId="7" hidden="1">0</definedName>
    <definedName name="solver_val" localSheetId="6" hidden="1">0</definedName>
    <definedName name="solver_val" localSheetId="1" hidden="1">0</definedName>
    <definedName name="solver_val" localSheetId="2" hidden="1">0</definedName>
    <definedName name="solver_val" localSheetId="8" hidden="1">0</definedName>
    <definedName name="solver_val" localSheetId="5" hidden="1">0</definedName>
    <definedName name="solver_val" localSheetId="4" hidden="1">0</definedName>
    <definedName name="solver_ver" localSheetId="3" hidden="1">3</definedName>
    <definedName name="solver_ver" localSheetId="7" hidden="1">3</definedName>
    <definedName name="solver_ver" localSheetId="6" hidden="1">3</definedName>
    <definedName name="solver_ver" localSheetId="1" hidden="1">3</definedName>
    <definedName name="solver_ver" localSheetId="2" hidden="1">3</definedName>
    <definedName name="solver_ver" localSheetId="8" hidden="1">3</definedName>
    <definedName name="solver_ver" localSheetId="5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G10" i="6"/>
  <c r="G31" i="6"/>
  <c r="G38" i="6" s="1"/>
  <c r="G39" i="6" s="1"/>
  <c r="G8" i="6"/>
  <c r="G30" i="6"/>
  <c r="G33" i="6" s="1"/>
  <c r="J11" i="6"/>
  <c r="I11" i="6"/>
  <c r="I10" i="6"/>
  <c r="J9" i="6"/>
  <c r="I9" i="6"/>
  <c r="J11" i="2"/>
  <c r="I11" i="2"/>
  <c r="J10" i="2"/>
  <c r="I10" i="2"/>
  <c r="J9" i="2"/>
  <c r="I9" i="2"/>
  <c r="J11" i="3"/>
  <c r="I11" i="3"/>
  <c r="J10" i="3"/>
  <c r="I10" i="3"/>
  <c r="J9" i="3"/>
  <c r="I9" i="3"/>
  <c r="J11" i="1"/>
  <c r="I11" i="1"/>
  <c r="J10" i="1"/>
  <c r="I10" i="1"/>
  <c r="J9" i="1"/>
  <c r="I9" i="1"/>
  <c r="J11" i="4"/>
  <c r="I11" i="4"/>
  <c r="J10" i="4"/>
  <c r="I10" i="4"/>
  <c r="J9" i="4"/>
  <c r="I9" i="4"/>
  <c r="J11" i="5"/>
  <c r="I11" i="5"/>
  <c r="J10" i="5"/>
  <c r="I10" i="5"/>
  <c r="J9" i="5"/>
  <c r="I9" i="5"/>
  <c r="J11" i="9"/>
  <c r="I11" i="9"/>
  <c r="J10" i="9"/>
  <c r="I10" i="9"/>
  <c r="J9" i="9"/>
  <c r="I9" i="9"/>
  <c r="G42" i="9" a="1"/>
  <c r="G42" i="9" s="1"/>
  <c r="F39" i="9"/>
  <c r="F38" i="9"/>
  <c r="G31" i="9"/>
  <c r="G38" i="9" s="1"/>
  <c r="G39" i="9" s="1"/>
  <c r="G30" i="9"/>
  <c r="G33" i="9" s="1"/>
  <c r="F19" i="9"/>
  <c r="G15" i="9"/>
  <c r="H15" i="9" s="1"/>
  <c r="F15" i="9"/>
  <c r="G12" i="9"/>
  <c r="G11" i="9"/>
  <c r="G10" i="9"/>
  <c r="G9" i="9"/>
  <c r="G8" i="9"/>
  <c r="G47" i="9" s="1"/>
  <c r="G7" i="9"/>
  <c r="G6" i="9"/>
  <c r="G5" i="9"/>
  <c r="G19" i="9" s="1"/>
  <c r="G4" i="9"/>
  <c r="G3" i="9"/>
  <c r="G42" i="6" a="1"/>
  <c r="G42" i="6" s="1"/>
  <c r="F39" i="6"/>
  <c r="F38" i="6"/>
  <c r="G24" i="6"/>
  <c r="H24" i="6" s="1"/>
  <c r="F18" i="6"/>
  <c r="G12" i="6"/>
  <c r="G11" i="6"/>
  <c r="G7" i="6"/>
  <c r="G6" i="6"/>
  <c r="G5" i="6"/>
  <c r="F19" i="6" s="1"/>
  <c r="G4" i="6"/>
  <c r="G3" i="6"/>
  <c r="G42" i="2" a="1"/>
  <c r="G42" i="2" s="1"/>
  <c r="F39" i="2"/>
  <c r="F38" i="2"/>
  <c r="G30" i="2"/>
  <c r="G33" i="2" s="1"/>
  <c r="G15" i="2"/>
  <c r="H15" i="2" s="1"/>
  <c r="F15" i="2"/>
  <c r="G12" i="2"/>
  <c r="G11" i="2"/>
  <c r="G10" i="2"/>
  <c r="G9" i="2"/>
  <c r="G31" i="2" s="1"/>
  <c r="G38" i="2" s="1"/>
  <c r="G39" i="2" s="1"/>
  <c r="G8" i="2"/>
  <c r="G47" i="2" s="1"/>
  <c r="G7" i="2"/>
  <c r="G6" i="2"/>
  <c r="G5" i="2"/>
  <c r="F19" i="2" s="1"/>
  <c r="G4" i="2"/>
  <c r="G3" i="2"/>
  <c r="G24" i="2" s="1"/>
  <c r="G42" i="3" a="1"/>
  <c r="G42" i="3" s="1"/>
  <c r="F39" i="3"/>
  <c r="F38" i="3"/>
  <c r="G15" i="3"/>
  <c r="H15" i="3" s="1"/>
  <c r="F15" i="3"/>
  <c r="G12" i="3"/>
  <c r="G11" i="3"/>
  <c r="G10" i="3"/>
  <c r="G31" i="3" s="1"/>
  <c r="G38" i="3" s="1"/>
  <c r="G39" i="3" s="1"/>
  <c r="G9" i="3"/>
  <c r="G8" i="3"/>
  <c r="G47" i="3" s="1"/>
  <c r="G7" i="3"/>
  <c r="G6" i="3"/>
  <c r="G5" i="3"/>
  <c r="G19" i="3" s="1"/>
  <c r="G4" i="3"/>
  <c r="G3" i="3"/>
  <c r="G24" i="3" s="1"/>
  <c r="G42" i="1" a="1"/>
  <c r="G42" i="1" s="1"/>
  <c r="F39" i="1"/>
  <c r="F38" i="1"/>
  <c r="G30" i="1"/>
  <c r="G15" i="1"/>
  <c r="H15" i="1" s="1"/>
  <c r="F15" i="1"/>
  <c r="G12" i="1"/>
  <c r="G11" i="1"/>
  <c r="G33" i="1" s="1"/>
  <c r="G10" i="1"/>
  <c r="G31" i="1" s="1"/>
  <c r="G9" i="1"/>
  <c r="G8" i="1"/>
  <c r="G47" i="1" s="1"/>
  <c r="G7" i="1"/>
  <c r="G6" i="1"/>
  <c r="G5" i="1"/>
  <c r="G19" i="1" s="1"/>
  <c r="G4" i="1"/>
  <c r="G3" i="1"/>
  <c r="G24" i="1" s="1"/>
  <c r="G42" i="4" a="1"/>
  <c r="G42" i="4" s="1"/>
  <c r="F39" i="4"/>
  <c r="F38" i="4"/>
  <c r="G31" i="4"/>
  <c r="G38" i="4" s="1"/>
  <c r="G39" i="4" s="1"/>
  <c r="G30" i="4"/>
  <c r="G33" i="4" s="1"/>
  <c r="G15" i="4"/>
  <c r="H15" i="4" s="1"/>
  <c r="F15" i="4"/>
  <c r="G12" i="4"/>
  <c r="G11" i="4"/>
  <c r="G10" i="4"/>
  <c r="G9" i="4"/>
  <c r="G8" i="4"/>
  <c r="G47" i="4" s="1"/>
  <c r="G7" i="4"/>
  <c r="G6" i="4"/>
  <c r="G5" i="4"/>
  <c r="G19" i="4" s="1"/>
  <c r="G4" i="4"/>
  <c r="G3" i="4"/>
  <c r="G24" i="4" s="1"/>
  <c r="G42" i="5" a="1"/>
  <c r="G42" i="5" s="1"/>
  <c r="F39" i="5"/>
  <c r="F38" i="5"/>
  <c r="G31" i="5"/>
  <c r="G38" i="5" s="1"/>
  <c r="G39" i="5" s="1"/>
  <c r="G30" i="5"/>
  <c r="G33" i="5" s="1"/>
  <c r="F19" i="5"/>
  <c r="G15" i="5"/>
  <c r="H15" i="5" s="1"/>
  <c r="F15" i="5"/>
  <c r="G12" i="5"/>
  <c r="G11" i="5"/>
  <c r="G10" i="5"/>
  <c r="G9" i="5"/>
  <c r="G8" i="5"/>
  <c r="G47" i="5" s="1"/>
  <c r="G7" i="5"/>
  <c r="G6" i="5"/>
  <c r="G5" i="5"/>
  <c r="G19" i="5" s="1"/>
  <c r="G4" i="5"/>
  <c r="G3" i="5"/>
  <c r="G24" i="5" s="1"/>
  <c r="J11" i="8"/>
  <c r="J10" i="8"/>
  <c r="I11" i="8"/>
  <c r="I10" i="8"/>
  <c r="J9" i="8"/>
  <c r="I9" i="8"/>
  <c r="G12" i="8"/>
  <c r="G11" i="8"/>
  <c r="G10" i="8"/>
  <c r="G9" i="8"/>
  <c r="G8" i="8"/>
  <c r="G7" i="8"/>
  <c r="G6" i="8"/>
  <c r="G5" i="8"/>
  <c r="G4" i="8"/>
  <c r="G3" i="8"/>
  <c r="I4" i="1"/>
  <c r="G42" i="8" a="1"/>
  <c r="G42" i="8" s="1"/>
  <c r="F39" i="8"/>
  <c r="F38" i="8"/>
  <c r="G47" i="8"/>
  <c r="I4" i="2"/>
  <c r="I4" i="8"/>
  <c r="G30" i="8"/>
  <c r="F15" i="6" l="1"/>
  <c r="G15" i="6"/>
  <c r="H15" i="6" s="1"/>
  <c r="J10" i="6"/>
  <c r="G47" i="6"/>
  <c r="G18" i="6"/>
  <c r="G18" i="9"/>
  <c r="F18" i="9"/>
  <c r="G24" i="9"/>
  <c r="G19" i="6"/>
  <c r="H24" i="2"/>
  <c r="G19" i="2"/>
  <c r="F18" i="2"/>
  <c r="G18" i="2"/>
  <c r="H24" i="3"/>
  <c r="G18" i="3"/>
  <c r="F19" i="3"/>
  <c r="G30" i="3"/>
  <c r="G33" i="3" s="1"/>
  <c r="F18" i="3"/>
  <c r="H24" i="1"/>
  <c r="G38" i="1"/>
  <c r="G39" i="1" s="1"/>
  <c r="G18" i="1"/>
  <c r="F19" i="1"/>
  <c r="F18" i="1"/>
  <c r="H24" i="4"/>
  <c r="F18" i="4"/>
  <c r="G18" i="4"/>
  <c r="F19" i="4"/>
  <c r="H24" i="5"/>
  <c r="G18" i="5"/>
  <c r="F18" i="5"/>
  <c r="I4" i="9"/>
  <c r="G15" i="8"/>
  <c r="H15" i="8" s="1"/>
  <c r="G31" i="8"/>
  <c r="G38" i="8" s="1"/>
  <c r="G39" i="8" s="1"/>
  <c r="G33" i="8"/>
  <c r="I4" i="5"/>
  <c r="I4" i="4"/>
  <c r="I4" i="3"/>
  <c r="F15" i="8"/>
  <c r="G20" i="6" l="1"/>
  <c r="G21" i="6" s="1"/>
  <c r="G26" i="6" s="1"/>
  <c r="H26" i="6" s="1"/>
  <c r="H24" i="9"/>
  <c r="G20" i="9"/>
  <c r="G21" i="9" s="1"/>
  <c r="G20" i="2"/>
  <c r="G21" i="2" s="1"/>
  <c r="G20" i="3"/>
  <c r="G21" i="3" s="1"/>
  <c r="G20" i="1"/>
  <c r="G21" i="1" s="1"/>
  <c r="G20" i="4"/>
  <c r="G21" i="4" s="1"/>
  <c r="G21" i="5"/>
  <c r="G20" i="5"/>
  <c r="G18" i="8"/>
  <c r="G24" i="8"/>
  <c r="H24" i="8" s="1"/>
  <c r="F19" i="8"/>
  <c r="G19" i="8"/>
  <c r="F18" i="8"/>
  <c r="A1" i="7"/>
  <c r="G49" i="6" l="1"/>
  <c r="G25" i="6"/>
  <c r="H25" i="6" s="1"/>
  <c r="G45" i="6"/>
  <c r="G46" i="6" s="1"/>
  <c r="G48" i="6" s="1"/>
  <c r="G32" i="6"/>
  <c r="G34" i="6" s="1"/>
  <c r="G35" i="6" s="1"/>
  <c r="G49" i="9"/>
  <c r="G25" i="9"/>
  <c r="G32" i="9"/>
  <c r="G34" i="9" s="1"/>
  <c r="G35" i="9" s="1"/>
  <c r="G45" i="9"/>
  <c r="G46" i="9" s="1"/>
  <c r="G48" i="9" s="1"/>
  <c r="G50" i="9" s="1"/>
  <c r="G26" i="9"/>
  <c r="H26" i="9" s="1"/>
  <c r="G49" i="2"/>
  <c r="G26" i="2"/>
  <c r="H26" i="2" s="1"/>
  <c r="G32" i="2"/>
  <c r="G34" i="2" s="1"/>
  <c r="G35" i="2" s="1"/>
  <c r="G45" i="2"/>
  <c r="G46" i="2" s="1"/>
  <c r="G48" i="2" s="1"/>
  <c r="G50" i="2" s="1"/>
  <c r="G25" i="2"/>
  <c r="G49" i="3"/>
  <c r="G32" i="3"/>
  <c r="G34" i="3" s="1"/>
  <c r="G35" i="3" s="1"/>
  <c r="G25" i="3"/>
  <c r="G26" i="3"/>
  <c r="H26" i="3" s="1"/>
  <c r="G45" i="3"/>
  <c r="G46" i="3" s="1"/>
  <c r="G48" i="3" s="1"/>
  <c r="G50" i="3" s="1"/>
  <c r="G25" i="1"/>
  <c r="G49" i="1"/>
  <c r="G32" i="1"/>
  <c r="G34" i="1" s="1"/>
  <c r="G35" i="1" s="1"/>
  <c r="G45" i="1"/>
  <c r="G46" i="1" s="1"/>
  <c r="G48" i="1" s="1"/>
  <c r="G26" i="1"/>
  <c r="H26" i="1" s="1"/>
  <c r="G26" i="4"/>
  <c r="H26" i="4" s="1"/>
  <c r="G49" i="4"/>
  <c r="G32" i="4"/>
  <c r="G34" i="4" s="1"/>
  <c r="G35" i="4" s="1"/>
  <c r="G45" i="4"/>
  <c r="G46" i="4" s="1"/>
  <c r="G48" i="4" s="1"/>
  <c r="G50" i="4" s="1"/>
  <c r="G25" i="4"/>
  <c r="G49" i="5"/>
  <c r="G45" i="5"/>
  <c r="G46" i="5" s="1"/>
  <c r="G48" i="5" s="1"/>
  <c r="G50" i="5" s="1"/>
  <c r="G25" i="5"/>
  <c r="G32" i="5"/>
  <c r="G34" i="5" s="1"/>
  <c r="G35" i="5" s="1"/>
  <c r="G26" i="5"/>
  <c r="H26" i="5" s="1"/>
  <c r="I4" i="6"/>
  <c r="G20" i="8"/>
  <c r="G21" i="8" s="1"/>
  <c r="C6" i="7" a="1"/>
  <c r="B40" i="7" a="1"/>
  <c r="B41" i="7" a="1"/>
  <c r="B38" i="7" a="1"/>
  <c r="E7" i="7" a="1"/>
  <c r="C5" i="7" a="1"/>
  <c r="E6" i="7" a="1"/>
  <c r="C7" i="7" a="1"/>
  <c r="E5" i="7" a="1"/>
  <c r="G50" i="6" l="1"/>
  <c r="G27" i="6"/>
  <c r="H27" i="6" s="1"/>
  <c r="H25" i="9"/>
  <c r="G27" i="9"/>
  <c r="H27" i="9" s="1"/>
  <c r="H25" i="2"/>
  <c r="G27" i="2"/>
  <c r="H27" i="2" s="1"/>
  <c r="H25" i="3"/>
  <c r="G27" i="3"/>
  <c r="H27" i="3" s="1"/>
  <c r="H25" i="1"/>
  <c r="G27" i="1"/>
  <c r="H27" i="1" s="1"/>
  <c r="G50" i="1"/>
  <c r="H25" i="4"/>
  <c r="G27" i="4"/>
  <c r="H27" i="4" s="1"/>
  <c r="H25" i="5"/>
  <c r="G27" i="5"/>
  <c r="H27" i="5" s="1"/>
  <c r="G26" i="8"/>
  <c r="H26" i="8" s="1"/>
  <c r="G49" i="8"/>
  <c r="G45" i="8"/>
  <c r="G46" i="8" s="1"/>
  <c r="G48" i="8" s="1"/>
  <c r="G32" i="8"/>
  <c r="G34" i="8" s="1"/>
  <c r="G25" i="8"/>
  <c r="H25" i="8" s="1"/>
  <c r="B41" i="7"/>
  <c r="B38" i="7"/>
  <c r="B40" i="7"/>
  <c r="C5" i="7"/>
  <c r="E7" i="7"/>
  <c r="E6" i="7"/>
  <c r="C6" i="7"/>
  <c r="C7" i="7"/>
  <c r="E5" i="7"/>
  <c r="B5" i="7"/>
  <c r="E3" i="7" a="1"/>
  <c r="C9" i="7" a="1"/>
  <c r="B7" i="7"/>
  <c r="C8" i="7" a="1"/>
  <c r="B42" i="7" a="1"/>
  <c r="D5" i="7" a="1"/>
  <c r="B6" i="7"/>
  <c r="C4" i="7" a="1"/>
  <c r="E9" i="7" a="1"/>
  <c r="D6" i="7" a="1"/>
  <c r="B37" i="7" a="1"/>
  <c r="B39" i="7" a="1"/>
  <c r="C3" i="7" a="1"/>
  <c r="E8" i="7" a="1"/>
  <c r="D7" i="7" a="1"/>
  <c r="G50" i="8" l="1"/>
  <c r="G27" i="8"/>
  <c r="H27" i="8" s="1"/>
  <c r="G35" i="8"/>
  <c r="B39" i="7"/>
  <c r="B42" i="7"/>
  <c r="B37" i="7"/>
  <c r="D5" i="7"/>
  <c r="C8" i="7"/>
  <c r="C3" i="7"/>
  <c r="E9" i="7"/>
  <c r="E8" i="7"/>
  <c r="E3" i="7"/>
  <c r="D6" i="7"/>
  <c r="C9" i="7"/>
  <c r="D7" i="7"/>
  <c r="C4" i="7"/>
  <c r="B36" i="7" a="1"/>
  <c r="D3" i="7" a="1"/>
  <c r="C10" i="7" a="1"/>
  <c r="B8" i="7"/>
  <c r="B4" i="7"/>
  <c r="B43" i="7" a="1"/>
  <c r="D9" i="7" a="1"/>
  <c r="D8" i="7" a="1"/>
  <c r="B9" i="7"/>
  <c r="B3" i="7"/>
  <c r="E4" i="7" a="1"/>
  <c r="E10" i="7" a="1"/>
  <c r="D4" i="7" a="1"/>
  <c r="E10" i="7" l="1"/>
  <c r="E4" i="7"/>
  <c r="B43" i="7"/>
  <c r="C10" i="7"/>
  <c r="B36" i="7"/>
  <c r="D9" i="7"/>
  <c r="D8" i="7"/>
  <c r="D4" i="7"/>
  <c r="D3" i="7"/>
  <c r="D10" i="7" a="1"/>
  <c r="B10" i="7"/>
  <c r="D1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<sst xmlns="http://schemas.openxmlformats.org/spreadsheetml/2006/main" count="2134" uniqueCount="793">
  <si>
    <t>50 kW</t>
  </si>
  <si>
    <t>0 kWh</t>
  </si>
  <si>
    <t>205 kW</t>
  </si>
  <si>
    <t>0.8 kWh</t>
  </si>
  <si>
    <t>213 kW</t>
  </si>
  <si>
    <t>1.6 kWh</t>
  </si>
  <si>
    <t>215 kW</t>
  </si>
  <si>
    <t>2.4 kWh</t>
  </si>
  <si>
    <t>3.2 kWh</t>
  </si>
  <si>
    <t>217 kW</t>
  </si>
  <si>
    <t>4.0 kWh</t>
  </si>
  <si>
    <t>218 kW</t>
  </si>
  <si>
    <t>219 kW</t>
  </si>
  <si>
    <t>6.4 kWh</t>
  </si>
  <si>
    <t>220 kW</t>
  </si>
  <si>
    <t>221 kW</t>
  </si>
  <si>
    <t>222 kW</t>
  </si>
  <si>
    <t>9.6 kWh</t>
  </si>
  <si>
    <t>10.4 kWh</t>
  </si>
  <si>
    <t>223 kW</t>
  </si>
  <si>
    <t>12.0 kWh</t>
  </si>
  <si>
    <t>12.8 kWh</t>
  </si>
  <si>
    <t>13.6 kWh</t>
  </si>
  <si>
    <t>224 kW</t>
  </si>
  <si>
    <t>14.4 kWh</t>
  </si>
  <si>
    <t>16.0 kWh</t>
  </si>
  <si>
    <t>225 kW</t>
  </si>
  <si>
    <t>18.4 kWh</t>
  </si>
  <si>
    <t>19.2 kWh</t>
  </si>
  <si>
    <t>20.0 kWh</t>
  </si>
  <si>
    <t>246 kW</t>
  </si>
  <si>
    <t>20.8 kWh</t>
  </si>
  <si>
    <t>21.6 kWh</t>
  </si>
  <si>
    <t>22.4 kWh</t>
  </si>
  <si>
    <t>24.8 kWh</t>
  </si>
  <si>
    <t>25.6 kWh</t>
  </si>
  <si>
    <t>26.4 kWh</t>
  </si>
  <si>
    <t>250 kW</t>
  </si>
  <si>
    <t>27.2 kWh</t>
  </si>
  <si>
    <t>28.0 kWh</t>
  </si>
  <si>
    <t>28.8 kWh</t>
  </si>
  <si>
    <t>29.6 kWh</t>
  </si>
  <si>
    <t>30.4 kWh</t>
  </si>
  <si>
    <t>32.0 kWh</t>
  </si>
  <si>
    <t>35.2 kWh</t>
  </si>
  <si>
    <t>36.8 kWh</t>
  </si>
  <si>
    <t>38.4 kWh</t>
  </si>
  <si>
    <t>39.2 kWh</t>
  </si>
  <si>
    <t>40.0 kWh</t>
  </si>
  <si>
    <t>40.8 kWh</t>
  </si>
  <si>
    <t>41.6 kWh</t>
  </si>
  <si>
    <t>42.4 kWh</t>
  </si>
  <si>
    <t>43.2 kWh</t>
  </si>
  <si>
    <t>44.8 kWh</t>
  </si>
  <si>
    <t>48.0 kWh</t>
  </si>
  <si>
    <t>48.8 kWh</t>
  </si>
  <si>
    <t>49.6 kWh</t>
  </si>
  <si>
    <t>51.2 kWh</t>
  </si>
  <si>
    <t>53.6 kWh</t>
  </si>
  <si>
    <t>162 kW</t>
  </si>
  <si>
    <t>54.4 kWh</t>
  </si>
  <si>
    <t>118 kW</t>
  </si>
  <si>
    <t>55.2 kWh</t>
  </si>
  <si>
    <t>119 kW</t>
  </si>
  <si>
    <t>117 kW</t>
  </si>
  <si>
    <t>57.6 kWh</t>
  </si>
  <si>
    <t>59.2 kWh</t>
  </si>
  <si>
    <t>60.0 kWh</t>
  </si>
  <si>
    <t>100 kW</t>
  </si>
  <si>
    <t>60.8 kWh</t>
  </si>
  <si>
    <t>91 kW</t>
  </si>
  <si>
    <t>61.6 kWh</t>
  </si>
  <si>
    <t>82 kW</t>
  </si>
  <si>
    <t>62.4 kWh</t>
  </si>
  <si>
    <t>73 kW</t>
  </si>
  <si>
    <t>63.2 kWh</t>
  </si>
  <si>
    <t>67 kW</t>
  </si>
  <si>
    <t>64.0 kWh</t>
  </si>
  <si>
    <t>60 kW</t>
  </si>
  <si>
    <t>64.8 kWh</t>
  </si>
  <si>
    <t>54 kW</t>
  </si>
  <si>
    <t>65.6 kWh</t>
  </si>
  <si>
    <t>48 kW</t>
  </si>
  <si>
    <t>66.4 kWh</t>
  </si>
  <si>
    <t>43 kW</t>
  </si>
  <si>
    <t>67.2 kWh</t>
  </si>
  <si>
    <t>39 kW</t>
  </si>
  <si>
    <t>68.0 kWh</t>
  </si>
  <si>
    <t>34 kW</t>
  </si>
  <si>
    <t>68.8 kWh</t>
  </si>
  <si>
    <t>32 kW</t>
  </si>
  <si>
    <t>69.6 kWh</t>
  </si>
  <si>
    <t>30 kW</t>
  </si>
  <si>
    <t>24 kW</t>
  </si>
  <si>
    <t>73.6 kWh</t>
  </si>
  <si>
    <t>80.0 kWh</t>
  </si>
  <si>
    <t>Driving Distance (Miles)</t>
  </si>
  <si>
    <t>Highway Speed (MPH)</t>
  </si>
  <si>
    <t>End of Trip Range (Miles)</t>
  </si>
  <si>
    <t>Charging Time</t>
  </si>
  <si>
    <t>Charging Speed (kW)</t>
  </si>
  <si>
    <t>Scenario Parameters</t>
  </si>
  <si>
    <t>Vehicle Parameters</t>
  </si>
  <si>
    <t>Time
(H:MM:SS)</t>
  </si>
  <si>
    <t>Energy Charged (kWh)</t>
  </si>
  <si>
    <t>Battery State of Charge (%)</t>
  </si>
  <si>
    <t>Charging Curve Data Source</t>
  </si>
  <si>
    <t>Vehicle Model</t>
  </si>
  <si>
    <t>Range Data Source</t>
  </si>
  <si>
    <t>Start of Trip SoC (%)</t>
  </si>
  <si>
    <t>Driving Time</t>
  </si>
  <si>
    <t>Total Time</t>
  </si>
  <si>
    <t>Combined Time</t>
  </si>
  <si>
    <t>DCFC Beginning SoC (%)</t>
  </si>
  <si>
    <t>DCFC Ending SoC (%)</t>
  </si>
  <si>
    <t>Charger Detour Distance per Charge (Miles)</t>
  </si>
  <si>
    <t>Charger Detour Driving Time</t>
  </si>
  <si>
    <t>Value</t>
  </si>
  <si>
    <t>Charger Detour Distance (Miles)</t>
  </si>
  <si>
    <t>Total Distance Driven (Miles)</t>
  </si>
  <si>
    <t>Distance Driven on Recharged Miles</t>
  </si>
  <si>
    <t>Distance Driven on Initial SoC (Miles)</t>
  </si>
  <si>
    <t>Distance Remaining at End of Trip (Miles)</t>
  </si>
  <si>
    <t>Distance Recharged (Miles)</t>
  </si>
  <si>
    <t>Tesla Model Y Long Range</t>
  </si>
  <si>
    <t>https://evkx.net/models/tesla/model_y/model_y_long_range/rangeandconsumption/</t>
  </si>
  <si>
    <t>https://evkx.net/models/tesla/model_y/model_y_long_range/chargingcurve/</t>
  </si>
  <si>
    <t>103 kW</t>
  </si>
  <si>
    <t>108 kW</t>
  </si>
  <si>
    <t>230 kW</t>
  </si>
  <si>
    <t>4.7 kWh</t>
  </si>
  <si>
    <t>235 kW</t>
  </si>
  <si>
    <t>5.5 kWh</t>
  </si>
  <si>
    <t>240 kW</t>
  </si>
  <si>
    <t>6.3 kWh</t>
  </si>
  <si>
    <t>245 kW</t>
  </si>
  <si>
    <t>7.1 kWh</t>
  </si>
  <si>
    <t>7.9 kWh</t>
  </si>
  <si>
    <t>8.7 kWh</t>
  </si>
  <si>
    <t>233 kW</t>
  </si>
  <si>
    <t>9.5 kWh</t>
  </si>
  <si>
    <t>10.3 kWh</t>
  </si>
  <si>
    <t>211 kW</t>
  </si>
  <si>
    <t>11.1 kWh</t>
  </si>
  <si>
    <t>200 kW</t>
  </si>
  <si>
    <t>11.8 kWh</t>
  </si>
  <si>
    <t>197 kW</t>
  </si>
  <si>
    <t>12.6 kWh</t>
  </si>
  <si>
    <t>193 kW</t>
  </si>
  <si>
    <t>13.4 kWh</t>
  </si>
  <si>
    <t>190 kW</t>
  </si>
  <si>
    <t>14.2 kWh</t>
  </si>
  <si>
    <t>188 kW</t>
  </si>
  <si>
    <t>15.0 kWh</t>
  </si>
  <si>
    <t>183 kW</t>
  </si>
  <si>
    <t>15.8 kWh</t>
  </si>
  <si>
    <t>179 kW</t>
  </si>
  <si>
    <t>16.6 kWh</t>
  </si>
  <si>
    <t>175 kW</t>
  </si>
  <si>
    <t>17.4 kWh</t>
  </si>
  <si>
    <t>172 kW</t>
  </si>
  <si>
    <t>18.2 kWh</t>
  </si>
  <si>
    <t>171 kW</t>
  </si>
  <si>
    <t>19.0 kWh</t>
  </si>
  <si>
    <t>167 kW</t>
  </si>
  <si>
    <t>19.8 kWh</t>
  </si>
  <si>
    <t>165 kW</t>
  </si>
  <si>
    <t>20.5 kWh</t>
  </si>
  <si>
    <t>21.3 kWh</t>
  </si>
  <si>
    <t>159 kW</t>
  </si>
  <si>
    <t>22.1 kWh</t>
  </si>
  <si>
    <t>157 kW</t>
  </si>
  <si>
    <t>22.9 kWh</t>
  </si>
  <si>
    <t>154 kW</t>
  </si>
  <si>
    <t>23.7 kWh</t>
  </si>
  <si>
    <t>151 kW</t>
  </si>
  <si>
    <t>24.5 kWh</t>
  </si>
  <si>
    <t>148 kW</t>
  </si>
  <si>
    <t>25.3 kWh</t>
  </si>
  <si>
    <t>146 kW</t>
  </si>
  <si>
    <t>26.1 kWh</t>
  </si>
  <si>
    <t>143 kW</t>
  </si>
  <si>
    <t>26.9 kWh</t>
  </si>
  <si>
    <t>139 kW</t>
  </si>
  <si>
    <t>27.6 kWh</t>
  </si>
  <si>
    <t>138 kW</t>
  </si>
  <si>
    <t>28.4 kWh</t>
  </si>
  <si>
    <t>135 kW</t>
  </si>
  <si>
    <t>29.2 kWh</t>
  </si>
  <si>
    <t>132 kW</t>
  </si>
  <si>
    <t>30.0 kWh</t>
  </si>
  <si>
    <t>130 kW</t>
  </si>
  <si>
    <t>30.8 kWh</t>
  </si>
  <si>
    <t>128 kW</t>
  </si>
  <si>
    <t>31.6 kWh</t>
  </si>
  <si>
    <t>125 kW</t>
  </si>
  <si>
    <t>32.4 kWh</t>
  </si>
  <si>
    <t>123 kW</t>
  </si>
  <si>
    <t>33.2 kWh</t>
  </si>
  <si>
    <t>122 kW</t>
  </si>
  <si>
    <t>34.0 kWh</t>
  </si>
  <si>
    <t>34.8 kWh</t>
  </si>
  <si>
    <t>35.6 kWh</t>
  </si>
  <si>
    <t>114 kW</t>
  </si>
  <si>
    <t>36.3 kWh</t>
  </si>
  <si>
    <t>112 kW</t>
  </si>
  <si>
    <t>37.1 kWh</t>
  </si>
  <si>
    <t>110 kW</t>
  </si>
  <si>
    <t>37.9 kWh</t>
  </si>
  <si>
    <t>38.7 kWh</t>
  </si>
  <si>
    <t>105 kW</t>
  </si>
  <si>
    <t>39.5 kWh</t>
  </si>
  <si>
    <t>40.3 kWh</t>
  </si>
  <si>
    <t>101 kW</t>
  </si>
  <si>
    <t>41.1 kWh</t>
  </si>
  <si>
    <t>99 kW</t>
  </si>
  <si>
    <t>41.9 kWh</t>
  </si>
  <si>
    <t>97 kW</t>
  </si>
  <si>
    <t>42.7 kWh</t>
  </si>
  <si>
    <t>94 kW</t>
  </si>
  <si>
    <t>43.4 kWh</t>
  </si>
  <si>
    <t>93 kW</t>
  </si>
  <si>
    <t>44.2 kWh</t>
  </si>
  <si>
    <t>45.0 kWh</t>
  </si>
  <si>
    <t>89 kW</t>
  </si>
  <si>
    <t>45.8 kWh</t>
  </si>
  <si>
    <t>85 kW</t>
  </si>
  <si>
    <t>46.6 kWh</t>
  </si>
  <si>
    <t>84 kW</t>
  </si>
  <si>
    <t>47.4 kWh</t>
  </si>
  <si>
    <t>81 kW</t>
  </si>
  <si>
    <t>48.2 kWh</t>
  </si>
  <si>
    <t>79 kW</t>
  </si>
  <si>
    <t>49.0 kWh</t>
  </si>
  <si>
    <t>49.8 kWh</t>
  </si>
  <si>
    <t>77 kW</t>
  </si>
  <si>
    <t>50.6 kWh</t>
  </si>
  <si>
    <t>76 kW</t>
  </si>
  <si>
    <t>51.4 kWh</t>
  </si>
  <si>
    <t>75 kW</t>
  </si>
  <si>
    <t>52.1 kWh</t>
  </si>
  <si>
    <t>74 kW</t>
  </si>
  <si>
    <t>52.9 kWh</t>
  </si>
  <si>
    <t>53.7 kWh</t>
  </si>
  <si>
    <t>72 kW</t>
  </si>
  <si>
    <t>54.5 kWh</t>
  </si>
  <si>
    <t>71 kW</t>
  </si>
  <si>
    <t>55.3 kWh</t>
  </si>
  <si>
    <t>70 kW</t>
  </si>
  <si>
    <t>56.1 kWh</t>
  </si>
  <si>
    <t>69 kW</t>
  </si>
  <si>
    <t>56.9 kWh</t>
  </si>
  <si>
    <t>57.7 kWh</t>
  </si>
  <si>
    <t>66 kW</t>
  </si>
  <si>
    <t>58.5 kWh</t>
  </si>
  <si>
    <t>65 kW</t>
  </si>
  <si>
    <t>64 kW</t>
  </si>
  <si>
    <t>62 kW</t>
  </si>
  <si>
    <t>61 kW</t>
  </si>
  <si>
    <t>58 kW</t>
  </si>
  <si>
    <t>56 kW</t>
  </si>
  <si>
    <t>53 kW</t>
  </si>
  <si>
    <t>45 kW</t>
  </si>
  <si>
    <t>67.9 kWh</t>
  </si>
  <si>
    <t>68.7 kWh</t>
  </si>
  <si>
    <t>42 kW</t>
  </si>
  <si>
    <t>69.5 kWh</t>
  </si>
  <si>
    <t>41 kW</t>
  </si>
  <si>
    <t>70.3 kWh</t>
  </si>
  <si>
    <t>71.1 kWh</t>
  </si>
  <si>
    <t>38 kW</t>
  </si>
  <si>
    <t>71.9 kWh</t>
  </si>
  <si>
    <t>36 kW</t>
  </si>
  <si>
    <t>72.7 kWh</t>
  </si>
  <si>
    <t>35 kW</t>
  </si>
  <si>
    <t>73.5 kWh</t>
  </si>
  <si>
    <t>74.3 kWh</t>
  </si>
  <si>
    <t>75.0 kWh</t>
  </si>
  <si>
    <t>27 kW</t>
  </si>
  <si>
    <t>75.8 kWh</t>
  </si>
  <si>
    <t>25 kW</t>
  </si>
  <si>
    <t>76.6 kWh</t>
  </si>
  <si>
    <t>22 kW</t>
  </si>
  <si>
    <t>77.4 kWh</t>
  </si>
  <si>
    <t>18 kW</t>
  </si>
  <si>
    <t>78.2 kWh</t>
  </si>
  <si>
    <t>13 kW</t>
  </si>
  <si>
    <t>79.0 kWh</t>
  </si>
  <si>
    <t>Chevrolet Equinox EV AWD</t>
  </si>
  <si>
    <t>https://evkx.net/models/chevrolet/equinox_ev/equinox_ev_awd/rangeandconsumption/</t>
  </si>
  <si>
    <t>https://evkx.net/models/chevrolet/equinox_ev/equinox_ev_awd/chargingcurve/</t>
  </si>
  <si>
    <t>1.7 kWh</t>
  </si>
  <si>
    <t>80 kW</t>
  </si>
  <si>
    <t>2.6 kWh</t>
  </si>
  <si>
    <t>90 kW</t>
  </si>
  <si>
    <t>3.4 kWh</t>
  </si>
  <si>
    <t>4.2 kWh</t>
  </si>
  <si>
    <t>5.1 kWh</t>
  </si>
  <si>
    <t>120 kW</t>
  </si>
  <si>
    <t>6.0 kWh</t>
  </si>
  <si>
    <t>6.8 kWh</t>
  </si>
  <si>
    <t>140 kW</t>
  </si>
  <si>
    <t>7.6 kWh</t>
  </si>
  <si>
    <t>150 kW</t>
  </si>
  <si>
    <t>8.5 kWh</t>
  </si>
  <si>
    <t>9.4 kWh</t>
  </si>
  <si>
    <t>10.2 kWh</t>
  </si>
  <si>
    <t>11.0 kWh</t>
  </si>
  <si>
    <t>152 kW</t>
  </si>
  <si>
    <t>11.9 kWh</t>
  </si>
  <si>
    <t>153 kW</t>
  </si>
  <si>
    <t>15.3 kWh</t>
  </si>
  <si>
    <t>16.2 kWh</t>
  </si>
  <si>
    <t>17.0 kWh</t>
  </si>
  <si>
    <t>149 kW</t>
  </si>
  <si>
    <t>17.8 kWh</t>
  </si>
  <si>
    <t>18.7 kWh</t>
  </si>
  <si>
    <t>19.6 kWh</t>
  </si>
  <si>
    <t>147 kW</t>
  </si>
  <si>
    <t>20.4 kWh</t>
  </si>
  <si>
    <t>21.2 kWh</t>
  </si>
  <si>
    <t>145 kW</t>
  </si>
  <si>
    <t>144 kW</t>
  </si>
  <si>
    <t>23.0 kWh</t>
  </si>
  <si>
    <t>23.8 kWh</t>
  </si>
  <si>
    <t>141 kW</t>
  </si>
  <si>
    <t>24.6 kWh</t>
  </si>
  <si>
    <t>25.5 kWh</t>
  </si>
  <si>
    <t>137 kW</t>
  </si>
  <si>
    <t>133 kW</t>
  </si>
  <si>
    <t>131 kW</t>
  </si>
  <si>
    <t>28.9 kWh</t>
  </si>
  <si>
    <t>129 kW</t>
  </si>
  <si>
    <t>29.8 kWh</t>
  </si>
  <si>
    <t>127 kW</t>
  </si>
  <si>
    <t>30.6 kWh</t>
  </si>
  <si>
    <t>31.4 kWh</t>
  </si>
  <si>
    <t>32.3 kWh</t>
  </si>
  <si>
    <t>121 kW</t>
  </si>
  <si>
    <t>35.7 kWh</t>
  </si>
  <si>
    <t>36.6 kWh</t>
  </si>
  <si>
    <t>37.4 kWh</t>
  </si>
  <si>
    <t>38.2 kWh</t>
  </si>
  <si>
    <t>39.1 kWh</t>
  </si>
  <si>
    <t>116 kW</t>
  </si>
  <si>
    <t>42.5 kWh</t>
  </si>
  <si>
    <t>115 kW</t>
  </si>
  <si>
    <t>113 kW</t>
  </si>
  <si>
    <t>45.9 kWh</t>
  </si>
  <si>
    <t>46.8 kWh</t>
  </si>
  <si>
    <t>47.6 kWh</t>
  </si>
  <si>
    <t>111 kW</t>
  </si>
  <si>
    <t>48.4 kWh</t>
  </si>
  <si>
    <t>49.3 kWh</t>
  </si>
  <si>
    <t>95 kW</t>
  </si>
  <si>
    <t>50.2 kWh</t>
  </si>
  <si>
    <t>51.0 kWh</t>
  </si>
  <si>
    <t>51.8 kWh</t>
  </si>
  <si>
    <t>52.7 kWh</t>
  </si>
  <si>
    <t>57 kW</t>
  </si>
  <si>
    <t>55 kW</t>
  </si>
  <si>
    <t>59 kW</t>
  </si>
  <si>
    <t>57.0 kWh</t>
  </si>
  <si>
    <t>57.8 kWh</t>
  </si>
  <si>
    <t>58.6 kWh</t>
  </si>
  <si>
    <t>59.5 kWh</t>
  </si>
  <si>
    <t>60.4 kWh</t>
  </si>
  <si>
    <t>78 kW</t>
  </si>
  <si>
    <t>61.2 kWh</t>
  </si>
  <si>
    <t>62.0 kWh</t>
  </si>
  <si>
    <t>62.9 kWh</t>
  </si>
  <si>
    <t>63.8 kWh</t>
  </si>
  <si>
    <t>64.6 kWh</t>
  </si>
  <si>
    <t>65.4 kWh</t>
  </si>
  <si>
    <t>66.3 kWh</t>
  </si>
  <si>
    <t>63 kW</t>
  </si>
  <si>
    <t>69.7 kWh</t>
  </si>
  <si>
    <t>70.6 kWh</t>
  </si>
  <si>
    <t>71.4 kWh</t>
  </si>
  <si>
    <t>72.2 kWh</t>
  </si>
  <si>
    <t>52 kW</t>
  </si>
  <si>
    <t>73.1 kWh</t>
  </si>
  <si>
    <t>49 kW</t>
  </si>
  <si>
    <t>74.0 kWh</t>
  </si>
  <si>
    <t>47 kW</t>
  </si>
  <si>
    <t>74.8 kWh</t>
  </si>
  <si>
    <t>75.6 kWh</t>
  </si>
  <si>
    <t>76.5 kWh</t>
  </si>
  <si>
    <t>40 kW</t>
  </si>
  <si>
    <t>79.9 kWh</t>
  </si>
  <si>
    <t>31 kW</t>
  </si>
  <si>
    <t>80.8 kWh</t>
  </si>
  <si>
    <t>29 kW</t>
  </si>
  <si>
    <t>81.6 kWh</t>
  </si>
  <si>
    <t>82.4 kWh</t>
  </si>
  <si>
    <t>83.3 kWh</t>
  </si>
  <si>
    <t>84.2 kWh</t>
  </si>
  <si>
    <t>20 kW</t>
  </si>
  <si>
    <t>85.0 kWh</t>
  </si>
  <si>
    <t>Volkswagen ID.4 Pro</t>
  </si>
  <si>
    <t>https://evkx.net/models/volkswagen/id.4/id.4_pro/rangeandconsumption/</t>
  </si>
  <si>
    <t>https://evkx.net/models/volkswagen/id.4/id.4_pro/chargingcurve/</t>
  </si>
  <si>
    <t>1.5 kWh</t>
  </si>
  <si>
    <t>2.3 kWh</t>
  </si>
  <si>
    <t>3.1 kWh</t>
  </si>
  <si>
    <t>3.8 kWh</t>
  </si>
  <si>
    <t>4.6 kWh</t>
  </si>
  <si>
    <t>5.4 kWh</t>
  </si>
  <si>
    <t>6.2 kWh</t>
  </si>
  <si>
    <t>6.9 kWh</t>
  </si>
  <si>
    <t>136 kW</t>
  </si>
  <si>
    <t>7.7 kWh</t>
  </si>
  <si>
    <t>9.2 kWh</t>
  </si>
  <si>
    <t>10.0 kWh</t>
  </si>
  <si>
    <t>10.8 kWh</t>
  </si>
  <si>
    <t>11.6 kWh</t>
  </si>
  <si>
    <t>12.3 kWh</t>
  </si>
  <si>
    <t>13.1 kWh</t>
  </si>
  <si>
    <t>13.9 kWh</t>
  </si>
  <si>
    <t>14.6 kWh</t>
  </si>
  <si>
    <t>15.4 kWh</t>
  </si>
  <si>
    <t>16.9 kWh</t>
  </si>
  <si>
    <t>17.7 kWh</t>
  </si>
  <si>
    <t>18.5 kWh</t>
  </si>
  <si>
    <t>22.3 kWh</t>
  </si>
  <si>
    <t>23.1 kWh</t>
  </si>
  <si>
    <t>23.9 kWh</t>
  </si>
  <si>
    <t>25.4 kWh</t>
  </si>
  <si>
    <t>26.2 kWh</t>
  </si>
  <si>
    <t>27.0 kWh</t>
  </si>
  <si>
    <t>27.7 kWh</t>
  </si>
  <si>
    <t>28.5 kWh</t>
  </si>
  <si>
    <t>29.3 kWh</t>
  </si>
  <si>
    <t>33.1 kWh</t>
  </si>
  <si>
    <t>33.9 kWh</t>
  </si>
  <si>
    <t>34.6 kWh</t>
  </si>
  <si>
    <t>35.4 kWh</t>
  </si>
  <si>
    <t>36.2 kWh</t>
  </si>
  <si>
    <t>37.0 kWh</t>
  </si>
  <si>
    <t>37.7 kWh</t>
  </si>
  <si>
    <t>126 kW</t>
  </si>
  <si>
    <t>38.5 kWh</t>
  </si>
  <si>
    <t>39.3 kWh</t>
  </si>
  <si>
    <t>43.1 kWh</t>
  </si>
  <si>
    <t>43.9 kWh</t>
  </si>
  <si>
    <t>44.7 kWh</t>
  </si>
  <si>
    <t>45.4 kWh</t>
  </si>
  <si>
    <t>46.2 kWh</t>
  </si>
  <si>
    <t>47.0 kWh</t>
  </si>
  <si>
    <t>47.7 kWh</t>
  </si>
  <si>
    <t>48.5 kWh</t>
  </si>
  <si>
    <t>50.0 kWh</t>
  </si>
  <si>
    <t>50.8 kWh</t>
  </si>
  <si>
    <t>51.6 kWh</t>
  </si>
  <si>
    <t>52.4 kWh</t>
  </si>
  <si>
    <t>53.1 kWh</t>
  </si>
  <si>
    <t>53.9 kWh</t>
  </si>
  <si>
    <t>107 kW</t>
  </si>
  <si>
    <t>54.7 kWh</t>
  </si>
  <si>
    <t>106 kW</t>
  </si>
  <si>
    <t>55.4 kWh</t>
  </si>
  <si>
    <t>56.2 kWh</t>
  </si>
  <si>
    <t>96 kW</t>
  </si>
  <si>
    <t>59.3 kWh</t>
  </si>
  <si>
    <t>60.1 kWh</t>
  </si>
  <si>
    <t>68 kW</t>
  </si>
  <si>
    <t>63.1 kWh</t>
  </si>
  <si>
    <t>63.9 kWh</t>
  </si>
  <si>
    <t>64.7 kWh</t>
  </si>
  <si>
    <t>44 kW</t>
  </si>
  <si>
    <t>37 kW</t>
  </si>
  <si>
    <t>66.2 kWh</t>
  </si>
  <si>
    <t>67.0 kWh</t>
  </si>
  <si>
    <t>67.8 kWh</t>
  </si>
  <si>
    <t>68.5 kWh</t>
  </si>
  <si>
    <t>69.3 kWh</t>
  </si>
  <si>
    <t>70.1 kWh</t>
  </si>
  <si>
    <t>70.8 kWh</t>
  </si>
  <si>
    <t>71.6 kWh</t>
  </si>
  <si>
    <t>72.4 kWh</t>
  </si>
  <si>
    <t>73.2 kWh</t>
  </si>
  <si>
    <t>23 kW</t>
  </si>
  <si>
    <t>73.9 kWh</t>
  </si>
  <si>
    <t>74.7 kWh</t>
  </si>
  <si>
    <t>75.5 kWh</t>
  </si>
  <si>
    <t>21 kW</t>
  </si>
  <si>
    <t>76.2 kWh</t>
  </si>
  <si>
    <t>77.0 kWh</t>
  </si>
  <si>
    <t>Ford Mustang Mach-E Long Range AWD</t>
  </si>
  <si>
    <t>https://evkx.net/models/ford/mustang_mach-e/mustang_mach-e_long_range_awd/rangeandconsumption/</t>
  </si>
  <si>
    <t>https://evkx.net/models/ford/mustang_mach-e/mustang_mach-e_long_range_awd/chargingcurve/</t>
  </si>
  <si>
    <t>0.9 kWh</t>
  </si>
  <si>
    <t>1.8 kWh</t>
  </si>
  <si>
    <t>2.8 kWh</t>
  </si>
  <si>
    <t>3.7 kWh</t>
  </si>
  <si>
    <t>98 kW</t>
  </si>
  <si>
    <t>7.4 kWh</t>
  </si>
  <si>
    <t>8.3 kWh</t>
  </si>
  <si>
    <t>10.1 kWh</t>
  </si>
  <si>
    <t>12.9 kWh</t>
  </si>
  <si>
    <t>13.8 kWh</t>
  </si>
  <si>
    <t>14.7 kWh</t>
  </si>
  <si>
    <t>15.6 kWh</t>
  </si>
  <si>
    <t>17.5 kWh</t>
  </si>
  <si>
    <t>19.3 kWh</t>
  </si>
  <si>
    <t>20.2 kWh</t>
  </si>
  <si>
    <t>25.8 kWh</t>
  </si>
  <si>
    <t>26.7 kWh</t>
  </si>
  <si>
    <t>29.4 kWh</t>
  </si>
  <si>
    <t>31.3 kWh</t>
  </si>
  <si>
    <t>32.2 kWh</t>
  </si>
  <si>
    <t>102 kW</t>
  </si>
  <si>
    <t>35.0 kWh</t>
  </si>
  <si>
    <t>35.9 kWh</t>
  </si>
  <si>
    <t>38.6 kWh</t>
  </si>
  <si>
    <t>39.6 kWh</t>
  </si>
  <si>
    <t>40.5 kWh</t>
  </si>
  <si>
    <t>41.4 kWh</t>
  </si>
  <si>
    <t>42.3 kWh</t>
  </si>
  <si>
    <t>45.1 kWh</t>
  </si>
  <si>
    <t>46.0 kWh</t>
  </si>
  <si>
    <t>46.9 kWh</t>
  </si>
  <si>
    <t>47.8 kWh</t>
  </si>
  <si>
    <t>49.7 kWh</t>
  </si>
  <si>
    <t>51.5 kWh</t>
  </si>
  <si>
    <t>53.4 kWh</t>
  </si>
  <si>
    <t>54.3 kWh</t>
  </si>
  <si>
    <t>58.0 kWh</t>
  </si>
  <si>
    <t>58.9 kWh</t>
  </si>
  <si>
    <t>59.8 kWh</t>
  </si>
  <si>
    <t>60.7 kWh</t>
  </si>
  <si>
    <t>62.6 kWh</t>
  </si>
  <si>
    <t>63.5 kWh</t>
  </si>
  <si>
    <t>64.4 kWh</t>
  </si>
  <si>
    <t>65.3 kWh</t>
  </si>
  <si>
    <t>68.1 kWh</t>
  </si>
  <si>
    <t>69.0 kWh</t>
  </si>
  <si>
    <t>69.9 kWh</t>
  </si>
  <si>
    <t>71.8 kWh</t>
  </si>
  <si>
    <t>12 kW</t>
  </si>
  <si>
    <t>11 kW</t>
  </si>
  <si>
    <t>74.5 kWh</t>
  </si>
  <si>
    <t>75.4 kWh</t>
  </si>
  <si>
    <t>76.4 kWh</t>
  </si>
  <si>
    <t>77.3 kWh</t>
  </si>
  <si>
    <t>79.1 kWh</t>
  </si>
  <si>
    <t>81.0 kWh</t>
  </si>
  <si>
    <t>81.9 kWh</t>
  </si>
  <si>
    <t>82.8 kWh</t>
  </si>
  <si>
    <t>83.7 kWh</t>
  </si>
  <si>
    <t>84.6 kWh</t>
  </si>
  <si>
    <t>85.6 kWh</t>
  </si>
  <si>
    <t>86.5 kWh</t>
  </si>
  <si>
    <t>87.4 kWh</t>
  </si>
  <si>
    <t>88.3 kWh</t>
  </si>
  <si>
    <t>89.2 kWh</t>
  </si>
  <si>
    <t>90.2 kWh</t>
  </si>
  <si>
    <t>91.1 kWh</t>
  </si>
  <si>
    <t>92.0 kWh</t>
  </si>
  <si>
    <t>Hyundai Ioniq 6 Long Range RWD</t>
  </si>
  <si>
    <t>https://evkx.net/models/hyundai/ioniq_6/ioniq_6_long_range_rwd/rangeandconsumption/</t>
  </si>
  <si>
    <t>https://evkx.net/models/hyundai/ioniq_6/ioniq_6_long_range_rwd/chargingcurve/</t>
  </si>
  <si>
    <t>0.7 kWh</t>
  </si>
  <si>
    <t>2.2 kWh</t>
  </si>
  <si>
    <t>3.0 kWh</t>
  </si>
  <si>
    <t>4.4 kWh</t>
  </si>
  <si>
    <t>5.2 kWh</t>
  </si>
  <si>
    <t>5.9 kWh</t>
  </si>
  <si>
    <t>6.7 kWh</t>
  </si>
  <si>
    <t>8.1 kWh</t>
  </si>
  <si>
    <t>8.9 kWh</t>
  </si>
  <si>
    <t>13.3 kWh</t>
  </si>
  <si>
    <t>14.1 kWh</t>
  </si>
  <si>
    <t>14.8 kWh</t>
  </si>
  <si>
    <t>15.5 kWh</t>
  </si>
  <si>
    <t>16.3 kWh</t>
  </si>
  <si>
    <t>226 kW</t>
  </si>
  <si>
    <t>20.7 kWh</t>
  </si>
  <si>
    <t>21.5 kWh</t>
  </si>
  <si>
    <t>22.2 kWh</t>
  </si>
  <si>
    <t>227 kW</t>
  </si>
  <si>
    <t>24.4 kWh</t>
  </si>
  <si>
    <t>25.2 kWh</t>
  </si>
  <si>
    <t>25.9 kWh</t>
  </si>
  <si>
    <t>26.6 kWh</t>
  </si>
  <si>
    <t>27.4 kWh</t>
  </si>
  <si>
    <t>28.1 kWh</t>
  </si>
  <si>
    <t>232 kW</t>
  </si>
  <si>
    <t>231 kW</t>
  </si>
  <si>
    <t>30.3 kWh</t>
  </si>
  <si>
    <t>31.1 kWh</t>
  </si>
  <si>
    <t>31.8 kWh</t>
  </si>
  <si>
    <t>32.6 kWh</t>
  </si>
  <si>
    <t>33.3 kWh</t>
  </si>
  <si>
    <t>234 kW</t>
  </si>
  <si>
    <t>210 kW</t>
  </si>
  <si>
    <t>186 kW</t>
  </si>
  <si>
    <t>35.5 kWh</t>
  </si>
  <si>
    <t>187 kW</t>
  </si>
  <si>
    <t>40.7 kWh</t>
  </si>
  <si>
    <t>189 kW</t>
  </si>
  <si>
    <t>180 kW</t>
  </si>
  <si>
    <t>42.2 kWh</t>
  </si>
  <si>
    <t>182 kW</t>
  </si>
  <si>
    <t>42.9 kWh</t>
  </si>
  <si>
    <t>184 kW</t>
  </si>
  <si>
    <t>43.7 kWh</t>
  </si>
  <si>
    <t>185 kW</t>
  </si>
  <si>
    <t>44.4 kWh</t>
  </si>
  <si>
    <t>48.1 kWh</t>
  </si>
  <si>
    <t>191 kW</t>
  </si>
  <si>
    <t>192 kW</t>
  </si>
  <si>
    <t>50.3 kWh</t>
  </si>
  <si>
    <t>51.1 kWh</t>
  </si>
  <si>
    <t>168 kW</t>
  </si>
  <si>
    <t>52.5 kWh</t>
  </si>
  <si>
    <t>53.3 kWh</t>
  </si>
  <si>
    <t>54.0 kWh</t>
  </si>
  <si>
    <t>169 kW</t>
  </si>
  <si>
    <t>54.8 kWh</t>
  </si>
  <si>
    <t>55.5 kWh</t>
  </si>
  <si>
    <t>158 kW</t>
  </si>
  <si>
    <t>59.9 kWh</t>
  </si>
  <si>
    <t>61.4 kWh</t>
  </si>
  <si>
    <t>62.2 kWh</t>
  </si>
  <si>
    <t>63.6 kWh</t>
  </si>
  <si>
    <t>65.1 kWh</t>
  </si>
  <si>
    <t>65.9 kWh</t>
  </si>
  <si>
    <t>66.6 kWh</t>
  </si>
  <si>
    <t>67.3 kWh</t>
  </si>
  <si>
    <t>71.0 kWh</t>
  </si>
  <si>
    <t>72.5 kWh</t>
  </si>
  <si>
    <t>16 kW</t>
  </si>
  <si>
    <t>73.3 kWh</t>
  </si>
  <si>
    <t>https://evkx.net/models/volvo/ex30/ex30_single_motor_extended_range/rangeandconsumption/</t>
  </si>
  <si>
    <t>Volvo EX30 Single Motor Extended Range</t>
  </si>
  <si>
    <t>https://evkx.net/models/volvo/ex30/ex30_single_motor_extended_range/chargingcurve/</t>
  </si>
  <si>
    <t>0.6 kWh</t>
  </si>
  <si>
    <t>33 kW</t>
  </si>
  <si>
    <t>1.3 kWh</t>
  </si>
  <si>
    <t>1.9 kWh</t>
  </si>
  <si>
    <t>4.5 kWh</t>
  </si>
  <si>
    <t>5.8 kWh</t>
  </si>
  <si>
    <t>7.0 kWh</t>
  </si>
  <si>
    <t>9.0 kWh</t>
  </si>
  <si>
    <t>155 kW</t>
  </si>
  <si>
    <t>10.9 kWh</t>
  </si>
  <si>
    <t>11.5 kWh</t>
  </si>
  <si>
    <t>12.2 kWh</t>
  </si>
  <si>
    <t>156 kW</t>
  </si>
  <si>
    <t>17.3 kWh</t>
  </si>
  <si>
    <t>17.9 kWh</t>
  </si>
  <si>
    <t>18.6 kWh</t>
  </si>
  <si>
    <t>21.1 kWh</t>
  </si>
  <si>
    <t>21.8 kWh</t>
  </si>
  <si>
    <t>24.3 kWh</t>
  </si>
  <si>
    <t>25.0 kWh</t>
  </si>
  <si>
    <t>27.5 kWh</t>
  </si>
  <si>
    <t>28.2 kWh</t>
  </si>
  <si>
    <t>30.1 kWh</t>
  </si>
  <si>
    <t>30.7 kWh</t>
  </si>
  <si>
    <t>86 kW</t>
  </si>
  <si>
    <t>87 kW</t>
  </si>
  <si>
    <t>35.8 kWh</t>
  </si>
  <si>
    <t>36.5 kWh</t>
  </si>
  <si>
    <t>37.8 kWh</t>
  </si>
  <si>
    <t>39.0 kWh</t>
  </si>
  <si>
    <t>39.7 kWh</t>
  </si>
  <si>
    <t>41.0 kWh</t>
  </si>
  <si>
    <t>43.5 kWh</t>
  </si>
  <si>
    <t>46.1 kWh</t>
  </si>
  <si>
    <t>46.7 kWh</t>
  </si>
  <si>
    <t>48.6 kWh</t>
  </si>
  <si>
    <t>49.9 kWh</t>
  </si>
  <si>
    <t>53.8 kWh</t>
  </si>
  <si>
    <t>55.0 kWh</t>
  </si>
  <si>
    <t>26 kW</t>
  </si>
  <si>
    <t>55.7 kWh</t>
  </si>
  <si>
    <t>56.3 kWh</t>
  </si>
  <si>
    <t>58.2 kWh</t>
  </si>
  <si>
    <t>60.2 kWh</t>
  </si>
  <si>
    <t>62.1 kWh</t>
  </si>
  <si>
    <t>62.7 kWh</t>
  </si>
  <si>
    <t>63.4 kWh</t>
  </si>
  <si>
    <t>8 kW</t>
  </si>
  <si>
    <t>Hyundai Ioniq 6</t>
  </si>
  <si>
    <t>Tesla Model Y</t>
  </si>
  <si>
    <t>Chevy Equinox</t>
  </si>
  <si>
    <t>Volvo EX30</t>
  </si>
  <si>
    <t>Volkswagen ID.4</t>
  </si>
  <si>
    <t>Ford Mustang Mach-e</t>
  </si>
  <si>
    <t>City Speed (MPH)</t>
  </si>
  <si>
    <t>Checks</t>
  </si>
  <si>
    <t>Time Per Charging Session</t>
  </si>
  <si>
    <t>Charging Calculations</t>
  </si>
  <si>
    <t>Ford F-150 Lightning Standard Range</t>
  </si>
  <si>
    <t>https://evkx.net/models/ford/f150_lightning/f150_lightning_standard_range/rangeandconsumption/</t>
  </si>
  <si>
    <t>https://evkx.net/models/ford/f150_lightning/f150_lightning_standard_range/chargingcurve/</t>
  </si>
  <si>
    <t>1.0 kWh</t>
  </si>
  <si>
    <t>2.0 kWh</t>
  </si>
  <si>
    <t>2.9 kWh</t>
  </si>
  <si>
    <t>3.9 kWh</t>
  </si>
  <si>
    <t>4.9 kWh</t>
  </si>
  <si>
    <t>7.8 kWh</t>
  </si>
  <si>
    <t>8.8 kWh</t>
  </si>
  <si>
    <t>9.8 kWh</t>
  </si>
  <si>
    <t>160 kW</t>
  </si>
  <si>
    <t>12.7 kWh</t>
  </si>
  <si>
    <t>13.7 kWh</t>
  </si>
  <si>
    <t>15.7 kWh</t>
  </si>
  <si>
    <t>16.7 kWh</t>
  </si>
  <si>
    <t>17.6 kWh</t>
  </si>
  <si>
    <t>20.6 kWh</t>
  </si>
  <si>
    <t>22.5 kWh</t>
  </si>
  <si>
    <t>23.5 kWh</t>
  </si>
  <si>
    <t>26.5 kWh</t>
  </si>
  <si>
    <t>124 kW</t>
  </si>
  <si>
    <t>34.3 kWh</t>
  </si>
  <si>
    <t>35.3 kWh</t>
  </si>
  <si>
    <t>37.2 kWh</t>
  </si>
  <si>
    <t>40.2 kWh</t>
  </si>
  <si>
    <t>41.2 kWh</t>
  </si>
  <si>
    <t>42.1 kWh</t>
  </si>
  <si>
    <t>44.1 kWh</t>
  </si>
  <si>
    <t>51.9 kWh</t>
  </si>
  <si>
    <t>54.9 kWh</t>
  </si>
  <si>
    <t>55.9 kWh</t>
  </si>
  <si>
    <t>56.8 kWh</t>
  </si>
  <si>
    <t>58.8 kWh</t>
  </si>
  <si>
    <t>61.7 kWh</t>
  </si>
  <si>
    <t>63.7 kWh</t>
  </si>
  <si>
    <t>65.7 kWh</t>
  </si>
  <si>
    <t>109 kW</t>
  </si>
  <si>
    <t>67.6 kWh</t>
  </si>
  <si>
    <t>68.6 kWh</t>
  </si>
  <si>
    <t>71.5 kWh</t>
  </si>
  <si>
    <t>78.4 kWh</t>
  </si>
  <si>
    <t>79.4 kWh</t>
  </si>
  <si>
    <t>80.4 kWh</t>
  </si>
  <si>
    <t>81.3 kWh</t>
  </si>
  <si>
    <t>82.3 kWh</t>
  </si>
  <si>
    <t>84.3 kWh</t>
  </si>
  <si>
    <t>85.3 kWh</t>
  </si>
  <si>
    <t>86.2 kWh</t>
  </si>
  <si>
    <t>87.2 kWh</t>
  </si>
  <si>
    <t>88.2 kWh</t>
  </si>
  <si>
    <t>92.1 kWh</t>
  </si>
  <si>
    <t>93.1 kWh</t>
  </si>
  <si>
    <t>94.1 kWh</t>
  </si>
  <si>
    <t>10 kW</t>
  </si>
  <si>
    <t>95.1 kWh</t>
  </si>
  <si>
    <t>96.0 kWh</t>
  </si>
  <si>
    <t>97.0 kWh</t>
  </si>
  <si>
    <t>7 kW</t>
  </si>
  <si>
    <t>98.0 kWh</t>
  </si>
  <si>
    <t>Ford F-150 Lightning</t>
  </si>
  <si>
    <t>Toyota bZ4X AWD</t>
  </si>
  <si>
    <t>https://evkx.net/models/toyota/bz4x/bz4x_awd/rangeandconsumption/</t>
  </si>
  <si>
    <t>https://evkx.net/models/toyota/bz4x/bz4x_awd/chargingcurve/</t>
  </si>
  <si>
    <t>83 kW</t>
  </si>
  <si>
    <t>88 kW</t>
  </si>
  <si>
    <t>134 kW</t>
  </si>
  <si>
    <t>104 kW</t>
  </si>
  <si>
    <t>46 kW</t>
  </si>
  <si>
    <t>28 kW</t>
  </si>
  <si>
    <t>17 kW</t>
  </si>
  <si>
    <t>14 kW</t>
  </si>
  <si>
    <t>6 kW</t>
  </si>
  <si>
    <t>Toyota bZ4X</t>
  </si>
  <si>
    <t>Number of Charges for Detour Distance</t>
  </si>
  <si>
    <t>Total Number of Charges</t>
  </si>
  <si>
    <t>Home Charging Cost ($/kWh)</t>
  </si>
  <si>
    <t>DCFC Charging Cost ($/kWh)</t>
  </si>
  <si>
    <t>Time Results</t>
  </si>
  <si>
    <t>Start of Trip Battery Energy (kWh)</t>
  </si>
  <si>
    <t>DCFC Recharged Energy (kWh)</t>
  </si>
  <si>
    <t>Home Charging Cost ($)</t>
  </si>
  <si>
    <t>DCFC Charging Cost ($)</t>
  </si>
  <si>
    <t>Total Fuel Costs ($)</t>
  </si>
  <si>
    <t>Energy Recharged per DCFC Session (kWh)</t>
  </si>
  <si>
    <t>Fuel Cost</t>
  </si>
  <si>
    <t>Fuel Cost Results</t>
  </si>
  <si>
    <t>Vehicle</t>
  </si>
  <si>
    <t>https://www.eia.gov/electricity/monthly/epm_table_grapher.php?t=epmt_5_6_a</t>
  </si>
  <si>
    <t>Source</t>
  </si>
  <si>
    <t>Time (Decimal)</t>
  </si>
  <si>
    <t>Time (Duration)</t>
  </si>
  <si>
    <t>https://stable.auto/insights/electric-vehicle-charger-price-by-state</t>
  </si>
  <si>
    <t>Estimated Fuel Efficiency Results</t>
  </si>
  <si>
    <t>DCFC Speed</t>
  </si>
  <si>
    <t>Average Charging Speed 10%-80% (kW)</t>
  </si>
  <si>
    <t>Key Factors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</si>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</sst>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&quot;$&quot;#,##0.00"/>
    <numFmt numFmtId="167" formatCode="0.0%"/>
    <numFmt numFmtId="168" formatCode="0.0"/>
    <numFmt numFmtId="169" formatCode="&quot;$&quot;#,##0"/>
    <numFmt numFmtId="170" formatCode="[&gt;=1]d&quot; D, &quot;h&quot; Hr, &quot;m&quot; Min&quot;;h&quot; Hr, &quot;m&quot; Min&quot;"/>
    <numFmt numFmtId="171" formatCode="[&gt;=1]d&quot;d &quot;h&quot;h &quot;m&quot;m&quot;;h&quot;h &quot;m&quot;m&quot;"/>
    <numFmt numFmtId="172" formatCode="[&gt;=1]d&quot;d &quot;h&quot;h &quot;m&quot;m &quot;s&quot;s&quot;;h&quot;h &quot;m&quot;m &quot;s&quot;s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  <xf numFmtId="0" fontId="3" fillId="0" borderId="0" xfId="0" applyFont="1" applyAlignment="1">
      <alignment horizontal="center" vertical="center" wrapText="1"/>
    </xf>
    <xf numFmtId="0" fontId="2" fillId="3" borderId="0" xfId="0" applyFont="1" applyFill="1"/>
    <xf numFmtId="0" fontId="0" fillId="0" borderId="2" xfId="0" applyBorder="1"/>
    <xf numFmtId="0" fontId="0" fillId="0" borderId="3" xfId="0" applyBorder="1"/>
    <xf numFmtId="9" fontId="0" fillId="2" borderId="4" xfId="0" applyNumberFormat="1" applyFill="1" applyBorder="1" applyAlignment="1">
      <alignment horizontal="right" vertical="center" wrapText="1"/>
    </xf>
    <xf numFmtId="0" fontId="0" fillId="2" borderId="5" xfId="0" applyFill="1" applyBorder="1" applyAlignment="1">
      <alignment horizontal="right" vertical="center" wrapText="1"/>
    </xf>
    <xf numFmtId="21" fontId="0" fillId="2" borderId="5" xfId="0" applyNumberFormat="1" applyFill="1" applyBorder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  <xf numFmtId="9" fontId="0" fillId="2" borderId="7" xfId="0" applyNumberForma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21" fontId="0" fillId="2" borderId="2" xfId="0" applyNumberFormat="1" applyFill="1" applyBorder="1" applyAlignment="1">
      <alignment horizontal="right" vertical="center" wrapText="1"/>
    </xf>
    <xf numFmtId="0" fontId="0" fillId="2" borderId="8" xfId="0" applyFill="1" applyBorder="1" applyAlignment="1">
      <alignment horizontal="right" vertical="center" wrapText="1"/>
    </xf>
    <xf numFmtId="9" fontId="0" fillId="2" borderId="9" xfId="0" applyNumberFormat="1" applyFill="1" applyBorder="1" applyAlignment="1">
      <alignment horizontal="right" vertical="center" wrapText="1"/>
    </xf>
    <xf numFmtId="0" fontId="0" fillId="2" borderId="10" xfId="0" applyFill="1" applyBorder="1" applyAlignment="1">
      <alignment horizontal="right" vertical="center" wrapText="1"/>
    </xf>
    <xf numFmtId="21" fontId="0" fillId="2" borderId="10" xfId="0" applyNumberFormat="1" applyFill="1" applyBorder="1" applyAlignment="1">
      <alignment horizontal="right" vertical="center" wrapText="1"/>
    </xf>
    <xf numFmtId="0" fontId="0" fillId="2" borderId="11" xfId="0" applyFill="1" applyBorder="1" applyAlignment="1">
      <alignment horizontal="right" vertical="center" wrapText="1"/>
    </xf>
    <xf numFmtId="0" fontId="0" fillId="2" borderId="1" xfId="1" applyNumberFormat="1" applyFont="1" applyFill="1" applyBorder="1"/>
    <xf numFmtId="0" fontId="4" fillId="2" borderId="1" xfId="3" applyNumberFormat="1" applyFill="1" applyBorder="1" applyAlignment="1">
      <alignment horizontal="left"/>
    </xf>
    <xf numFmtId="0" fontId="5" fillId="0" borderId="3" xfId="0" applyFont="1" applyBorder="1"/>
    <xf numFmtId="165" fontId="5" fillId="2" borderId="1" xfId="1" applyNumberFormat="1" applyFont="1" applyFill="1" applyBorder="1"/>
    <xf numFmtId="0" fontId="5" fillId="0" borderId="0" xfId="0" applyFont="1"/>
    <xf numFmtId="164" fontId="5" fillId="2" borderId="1" xfId="1" applyNumberFormat="1" applyFont="1" applyFill="1" applyBorder="1"/>
    <xf numFmtId="9" fontId="5" fillId="2" borderId="1" xfId="2" applyFont="1" applyFill="1" applyBorder="1"/>
    <xf numFmtId="2" fontId="5" fillId="0" borderId="2" xfId="0" applyNumberFormat="1" applyFont="1" applyBorder="1"/>
    <xf numFmtId="0" fontId="2" fillId="3" borderId="0" xfId="0" applyFont="1" applyFill="1" applyAlignment="1">
      <alignment horizontal="right"/>
    </xf>
    <xf numFmtId="165" fontId="0" fillId="0" borderId="0" xfId="0" applyNumberFormat="1"/>
    <xf numFmtId="43" fontId="0" fillId="0" borderId="0" xfId="0" applyNumberFormat="1"/>
    <xf numFmtId="0" fontId="5" fillId="0" borderId="2" xfId="0" applyFont="1" applyBorder="1"/>
    <xf numFmtId="165" fontId="5" fillId="0" borderId="2" xfId="1" applyNumberFormat="1" applyFont="1" applyBorder="1"/>
    <xf numFmtId="165" fontId="0" fillId="0" borderId="2" xfId="1" applyNumberFormat="1" applyFont="1" applyBorder="1"/>
    <xf numFmtId="9" fontId="5" fillId="0" borderId="2" xfId="0" applyNumberFormat="1" applyFont="1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2" fontId="6" fillId="0" borderId="2" xfId="0" applyNumberFormat="1" applyFont="1" applyBorder="1" applyAlignment="1"/>
    <xf numFmtId="2" fontId="5" fillId="0" borderId="2" xfId="0" applyNumberFormat="1" applyFont="1" applyBorder="1" applyAlignment="1"/>
    <xf numFmtId="165" fontId="5" fillId="0" borderId="2" xfId="1" applyNumberFormat="1" applyFont="1" applyFill="1" applyBorder="1"/>
    <xf numFmtId="164" fontId="5" fillId="0" borderId="2" xfId="1" applyNumberFormat="1" applyFont="1" applyFill="1" applyBorder="1"/>
    <xf numFmtId="9" fontId="5" fillId="0" borderId="2" xfId="2" applyFont="1" applyFill="1" applyBorder="1"/>
    <xf numFmtId="166" fontId="5" fillId="0" borderId="2" xfId="4" applyNumberFormat="1" applyFont="1" applyFill="1" applyBorder="1"/>
    <xf numFmtId="9" fontId="0" fillId="0" borderId="0" xfId="0" applyNumberFormat="1"/>
    <xf numFmtId="167" fontId="0" fillId="0" borderId="0" xfId="2" applyNumberFormat="1" applyFont="1"/>
    <xf numFmtId="168" fontId="0" fillId="0" borderId="2" xfId="0" applyNumberFormat="1" applyBorder="1"/>
    <xf numFmtId="166" fontId="0" fillId="0" borderId="2" xfId="0" applyNumberFormat="1" applyBorder="1"/>
    <xf numFmtId="166" fontId="5" fillId="2" borderId="1" xfId="4" applyNumberFormat="1" applyFont="1" applyFill="1" applyBorder="1"/>
    <xf numFmtId="169" fontId="0" fillId="0" borderId="2" xfId="0" applyNumberFormat="1" applyBorder="1"/>
    <xf numFmtId="20" fontId="0" fillId="0" borderId="0" xfId="0" applyNumberFormat="1"/>
    <xf numFmtId="0" fontId="0" fillId="0" borderId="0" xfId="0"/>
    <xf numFmtId="170" fontId="0" fillId="0" borderId="0" xfId="0" applyNumberFormat="1"/>
    <xf numFmtId="171" fontId="0" fillId="0" borderId="2" xfId="0" applyNumberFormat="1" applyBorder="1" applyAlignment="1">
      <alignment horizontal="left"/>
    </xf>
    <xf numFmtId="0" fontId="2" fillId="3" borderId="2" xfId="0" applyFont="1" applyFill="1" applyBorder="1"/>
    <xf numFmtId="0" fontId="2" fillId="4" borderId="2" xfId="0" applyFont="1" applyFill="1" applyBorder="1"/>
    <xf numFmtId="0" fontId="2" fillId="3" borderId="0" xfId="0" applyFont="1" applyFill="1" applyAlignment="1">
      <alignment horizontal="left"/>
    </xf>
    <xf numFmtId="0" fontId="0" fillId="0" borderId="13" xfId="0" applyBorder="1"/>
    <xf numFmtId="0" fontId="4" fillId="0" borderId="13" xfId="3" applyBorder="1"/>
    <xf numFmtId="172" fontId="0" fillId="0" borderId="2" xfId="0" applyNumberFormat="1" applyBorder="1" applyAlignment="1">
      <alignment horizontal="right"/>
    </xf>
    <xf numFmtId="172" fontId="6" fillId="0" borderId="2" xfId="0" applyNumberFormat="1" applyFont="1" applyBorder="1" applyAlignment="1">
      <alignment horizontal="right"/>
    </xf>
    <xf numFmtId="0" fontId="2" fillId="3" borderId="1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68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7" fillId="0" borderId="3" xfId="0" applyFont="1" applyBorder="1"/>
    <xf numFmtId="43" fontId="5" fillId="0" borderId="2" xfId="1" applyNumberFormat="1" applyFont="1" applyBorder="1"/>
    <xf numFmtId="166" fontId="5" fillId="0" borderId="2" xfId="0" applyNumberFormat="1" applyFont="1" applyBorder="1"/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</a:t>
            </a:r>
            <a:r>
              <a:rPr lang="en-US" baseline="0"/>
              <a:t> Road Trip Comparison</a:t>
            </a:r>
            <a:br>
              <a:rPr lang="en-US" baseline="0"/>
            </a:b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22152447511372"/>
          <c:y val="0.24038462550480519"/>
          <c:w val="0.77160636486626322"/>
          <c:h val="0.6761232014095076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Driving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1]d\ &quot;days&quot;\ h:mm;h:mm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Summary!$A$3:$A$10</c:f>
              <c:strCache>
                <c:ptCount val="8"/>
                <c:pt idx="0">
                  <c:v>Toyota bZ4X</c:v>
                </c:pt>
                <c:pt idx="1">
                  <c:v>Ford F-150 Lightning</c:v>
                </c:pt>
                <c:pt idx="2">
                  <c:v>Volvo EX30</c:v>
                </c:pt>
                <c:pt idx="3">
                  <c:v>Ford Mustang Mach-e</c:v>
                </c:pt>
                <c:pt idx="4">
                  <c:v>Chevy Equinox</c:v>
                </c:pt>
                <c:pt idx="5">
                  <c:v>Volkswagen ID.4</c:v>
                </c:pt>
                <c:pt idx="6">
                  <c:v>Tesla Model Y</c:v>
                </c:pt>
                <c:pt idx="7">
                  <c:v>Hyundai Ioniq 6</c:v>
                </c:pt>
              </c:strCache>
            </c:strRef>
          </c:cat>
          <c:val>
            <c:numRef>
              <c:f>Summary!$B$3:$B$10</c:f>
              <c:numCache>
                <c:formatCode>[&gt;=1]d"d "h"h "m"m";h"h "m"m"</c:formatCode>
                <c:ptCount val="8"/>
                <c:pt idx="0">
                  <c:v>0.61954365079365081</c:v>
                </c:pt>
                <c:pt idx="1">
                  <c:v>0.61954365079365081</c:v>
                </c:pt>
                <c:pt idx="2">
                  <c:v>0.61954365079365081</c:v>
                </c:pt>
                <c:pt idx="3">
                  <c:v>0.60912698412698407</c:v>
                </c:pt>
                <c:pt idx="4">
                  <c:v>0.61259920634920639</c:v>
                </c:pt>
                <c:pt idx="5">
                  <c:v>0.61259920634920639</c:v>
                </c:pt>
                <c:pt idx="6">
                  <c:v>0.60912698412698407</c:v>
                </c:pt>
                <c:pt idx="7">
                  <c:v>0.60912698412698407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C-4726-810C-B02D03086D15}"/>
            </c:ext>
          </c:extLst>
        </c:ser>
        <c:ser>
          <c:idx val="1"/>
          <c:order val="1"/>
          <c:tx>
            <c:strRef>
              <c:f>Summary!$C$2</c:f>
              <c:strCache>
                <c:ptCount val="1"/>
                <c:pt idx="0">
                  <c:v>Charging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[&gt;1]d\ &quot;days&quot;\ h:mm;h:mm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Summary!$A$3:$A$10</c:f>
              <c:strCache>
                <c:ptCount val="8"/>
                <c:pt idx="0">
                  <c:v>Toyota bZ4X</c:v>
                </c:pt>
                <c:pt idx="1">
                  <c:v>Ford F-150 Lightning</c:v>
                </c:pt>
                <c:pt idx="2">
                  <c:v>Volvo EX30</c:v>
                </c:pt>
                <c:pt idx="3">
                  <c:v>Ford Mustang Mach-e</c:v>
                </c:pt>
                <c:pt idx="4">
                  <c:v>Chevy Equinox</c:v>
                </c:pt>
                <c:pt idx="5">
                  <c:v>Volkswagen ID.4</c:v>
                </c:pt>
                <c:pt idx="6">
                  <c:v>Tesla Model Y</c:v>
                </c:pt>
                <c:pt idx="7">
                  <c:v>Hyundai Ioniq 6</c:v>
                </c:pt>
              </c:strCache>
            </c:strRef>
          </c:cat>
          <c:val>
            <c:numRef>
              <c:f>Summary!$C$3:$C$10</c:f>
              <c:numCache>
                <c:formatCode>[&gt;=1]d"d "h"h "m"m";h"h "m"m"</c:formatCode>
                <c:ptCount val="8"/>
                <c:pt idx="0">
                  <c:v>0.17122406711222496</c:v>
                </c:pt>
                <c:pt idx="1">
                  <c:v>0.16081534796458261</c:v>
                </c:pt>
                <c:pt idx="2">
                  <c:v>0.12418923320305229</c:v>
                </c:pt>
                <c:pt idx="3">
                  <c:v>0.1199613617376775</c:v>
                </c:pt>
                <c:pt idx="4">
                  <c:v>0.11621987722558158</c:v>
                </c:pt>
                <c:pt idx="5">
                  <c:v>9.3523810907440594E-2</c:v>
                </c:pt>
                <c:pt idx="6">
                  <c:v>8.2540684624017938E-2</c:v>
                </c:pt>
                <c:pt idx="7">
                  <c:v>3.6066100823045275E-2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C-4726-810C-B02D03086D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19798063"/>
        <c:axId val="919796623"/>
      </c:barChart>
      <c:catAx>
        <c:axId val="91979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96623"/>
        <c:crosses val="autoZero"/>
        <c:auto val="1"/>
        <c:lblAlgn val="ctr"/>
        <c:lblOffset val="100"/>
        <c:noMultiLvlLbl val="0"/>
      </c:catAx>
      <c:valAx>
        <c:axId val="9197966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: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]d&quot;d &quot;h&quot;h &quot;m&quot;m&quot;;h&quot;h &quot;m&quot;m&quot;" sourceLinked="1"/>
        <c:majorTickMark val="none"/>
        <c:minorTickMark val="none"/>
        <c:tickLblPos val="nextTo"/>
        <c:crossAx val="91979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7643018867717376"/>
          <c:y val="0.16728483484700338"/>
          <c:w val="0.24713948540792405"/>
          <c:h val="5.6391357293139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</a:t>
            </a:r>
            <a:r>
              <a:rPr lang="en-US" baseline="0"/>
              <a:t> Road Trip Comparison</a:t>
            </a:r>
            <a:br>
              <a:rPr lang="en-US" baseline="0"/>
            </a:b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22152447511372"/>
          <c:y val="0.24038462550480519"/>
          <c:w val="0.77160636486626322"/>
          <c:h val="0.6761232014095076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Summary!$D$2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]d&quot;d &quot;h&quot;h &quot;m&quot;m&quot;;h&quot;h &quot;m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Summary!$A$3:$A$10</c:f>
              <c:strCache>
                <c:ptCount val="8"/>
                <c:pt idx="0">
                  <c:v>Toyota bZ4X</c:v>
                </c:pt>
                <c:pt idx="1">
                  <c:v>Ford F-150 Lightning</c:v>
                </c:pt>
                <c:pt idx="2">
                  <c:v>Volvo EX30</c:v>
                </c:pt>
                <c:pt idx="3">
                  <c:v>Ford Mustang Mach-e</c:v>
                </c:pt>
                <c:pt idx="4">
                  <c:v>Chevy Equinox</c:v>
                </c:pt>
                <c:pt idx="5">
                  <c:v>Volkswagen ID.4</c:v>
                </c:pt>
                <c:pt idx="6">
                  <c:v>Tesla Model Y</c:v>
                </c:pt>
                <c:pt idx="7">
                  <c:v>Hyundai Ioniq 6</c:v>
                </c:pt>
              </c:strCache>
            </c:strRef>
          </c:cat>
          <c:val>
            <c:numRef>
              <c:f>Summary!$D$3:$D$10</c:f>
              <c:numCache>
                <c:formatCode>[&gt;=1]d"d "h"h "m"m";h"h "m"m"</c:formatCode>
                <c:ptCount val="8"/>
                <c:pt idx="0">
                  <c:v>0.79076771790587586</c:v>
                </c:pt>
                <c:pt idx="1">
                  <c:v>0.78035899875823345</c:v>
                </c:pt>
                <c:pt idx="2">
                  <c:v>0.74373288399670312</c:v>
                </c:pt>
                <c:pt idx="3">
                  <c:v>0.72908834586466165</c:v>
                </c:pt>
                <c:pt idx="4">
                  <c:v>0.72881908357478797</c:v>
                </c:pt>
                <c:pt idx="5">
                  <c:v>0.70612301725664695</c:v>
                </c:pt>
                <c:pt idx="6">
                  <c:v>0.69166766875100205</c:v>
                </c:pt>
                <c:pt idx="7">
                  <c:v>0.64519308495002947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5-4A05-9E38-C0C7E05DEE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19798063"/>
        <c:axId val="919796623"/>
      </c:barChart>
      <c:catAx>
        <c:axId val="91979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96623"/>
        <c:crosses val="autoZero"/>
        <c:auto val="1"/>
        <c:lblAlgn val="ctr"/>
        <c:lblOffset val="100"/>
        <c:noMultiLvlLbl val="0"/>
      </c:catAx>
      <c:valAx>
        <c:axId val="919796623"/>
        <c:scaling>
          <c:orientation val="minMax"/>
          <c:min val="0"/>
        </c:scaling>
        <c:delete val="1"/>
        <c:axPos val="b"/>
        <c:numFmt formatCode="[&gt;=1]d&quot;d &quot;h&quot;h &quot;m&quot;m&quot;;h&quot;h &quot;m&quot;m&quot;" sourceLinked="1"/>
        <c:majorTickMark val="out"/>
        <c:minorTickMark val="none"/>
        <c:tickLblPos val="nextTo"/>
        <c:crossAx val="91979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488762112190226"/>
          <c:y val="0.16728483484700338"/>
          <c:w val="0.1015671725157844"/>
          <c:h val="5.6391357293139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Driving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Summary!$A$36:$A$43</c:f>
              <c:strCache>
                <c:ptCount val="8"/>
                <c:pt idx="0">
                  <c:v>Hyundai Ioniq 6</c:v>
                </c:pt>
                <c:pt idx="1">
                  <c:v>Tesla Model Y</c:v>
                </c:pt>
                <c:pt idx="2">
                  <c:v>Ford Mustang Mach-e</c:v>
                </c:pt>
                <c:pt idx="3">
                  <c:v>Volkswagen ID.4</c:v>
                </c:pt>
                <c:pt idx="4">
                  <c:v>Volvo EX30</c:v>
                </c:pt>
                <c:pt idx="5">
                  <c:v>Chevy Equinox</c:v>
                </c:pt>
                <c:pt idx="6">
                  <c:v>Toyota bZ4X</c:v>
                </c:pt>
                <c:pt idx="7">
                  <c:v>Ford F-150 Lightning</c:v>
                </c:pt>
              </c:strCache>
            </c:strRef>
          </c:cat>
          <c:val>
            <c:numRef>
              <c:f>Summary!$B$36:$B$43</c:f>
              <c:numCache>
                <c:formatCode>"$"#,##0</c:formatCode>
                <c:ptCount val="8"/>
                <c:pt idx="0">
                  <c:v>84.607945679012346</c:v>
                </c:pt>
                <c:pt idx="1">
                  <c:v>100.62307138047139</c:v>
                </c:pt>
                <c:pt idx="2">
                  <c:v>123.24094035087715</c:v>
                </c:pt>
                <c:pt idx="3">
                  <c:v>127.67714728033472</c:v>
                </c:pt>
                <c:pt idx="4">
                  <c:v>131.93024321608038</c:v>
                </c:pt>
                <c:pt idx="5">
                  <c:v>132.39721428571426</c:v>
                </c:pt>
                <c:pt idx="6">
                  <c:v>139.06054736842106</c:v>
                </c:pt>
                <c:pt idx="7">
                  <c:v>205.54620000000003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C-4509-87DC-7A1CAA90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53520"/>
        <c:axId val="649254480"/>
      </c:barChart>
      <c:catAx>
        <c:axId val="6492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54480"/>
        <c:crosses val="autoZero"/>
        <c:auto val="1"/>
        <c:lblAlgn val="ctr"/>
        <c:lblOffset val="100"/>
        <c:noMultiLvlLbl val="0"/>
      </c:catAx>
      <c:valAx>
        <c:axId val="64925448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117474</xdr:colOff>
      <xdr:row>12</xdr:row>
      <xdr:rowOff>66674</xdr:rowOff>
    </xdr:from>
    <xdr:to>
      <xdr:col>6</xdr:col>
      <xdr:colOff>1917700</xdr:colOff>
      <xdr:row>33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D83BB5B-0EB1-9357-B788-17FAEFDEA14D}"/>
            </a:ext>
          </a:extLst>
        </xdr:cNvPr>
        <xdr:cNvGrpSpPr/>
      </xdr:nvGrpSpPr>
      <xdr:grpSpPr>
        <a:xfrm>
          <a:off x="117474" y="2346324"/>
          <a:ext cx="7318376" cy="3800476"/>
          <a:chOff x="-18037176" y="5032374"/>
          <a:chExt cx="7318376" cy="380047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12335235-60FF-C76F-32BF-CD123F0EF310}"/>
              </a:ext>
            </a:extLst>
          </xdr:cNvPr>
          <xdr:cNvGraphicFramePr/>
        </xdr:nvGraphicFramePr>
        <xdr:xfrm>
          <a:off x="-18037176" y="5032374"/>
          <a:ext cx="7318376" cy="38004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A$1">
        <xdr:nvSpPr>
          <xdr:cNvPr id="3" name="TextBox 2">
            <a:extLst>
              <a:ext uri="{FF2B5EF4-FFF2-40B4-BE49-F238E27FC236}">
                <a16:creationId xmlns:a16="http://schemas.microsoft.com/office/drawing/2014/main" id="{08887882-DA00-C8E2-727D-C61F215F1C1B}"/>
              </a:ext>
            </a:extLst>
          </xdr:cNvPr>
          <xdr:cNvSpPr txBox="1"/>
        </xdr:nvSpPr>
        <xdr:spPr>
          <a:xfrm>
            <a:off x="-18033986" y="5391150"/>
            <a:ext cx="7308808" cy="304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7422FF37-C572-4941-AC24-76D8E4CE9FD5}" type="TxLink">
              <a:rPr lang="en-US" sz="1100" b="0" i="0" u="none" strike="noStrike">
                <a:solidFill>
                  <a:srgbClr val="000000"/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pPr algn="ctr"/>
              <a:t>How Long Does it Take Each EV to Travel 1,000 Miles?</a:t>
            </a:fld>
            <a:endParaRPr lang="en-US" sz="1100" b="0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</xdr:grpSp>
    <xdr:clientData/>
  </xdr:twoCellAnchor>
  <xdr:twoCellAnchor>
    <xdr:from>
      <xdr:col>6</xdr:col>
      <xdr:colOff>2114649</xdr:colOff>
      <xdr:row>12</xdr:row>
      <xdr:rowOff>69850</xdr:rowOff>
    </xdr:from>
    <xdr:to>
      <xdr:col>9</xdr:col>
      <xdr:colOff>111126</xdr:colOff>
      <xdr:row>33</xdr:row>
      <xdr:rowOff>3176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0B6B91A-4F5C-3B6A-AD7B-14C7341CD7B4}"/>
            </a:ext>
          </a:extLst>
        </xdr:cNvPr>
        <xdr:cNvGrpSpPr/>
      </xdr:nvGrpSpPr>
      <xdr:grpSpPr>
        <a:xfrm>
          <a:off x="7632799" y="2349500"/>
          <a:ext cx="7369077" cy="3800476"/>
          <a:chOff x="5759549" y="2336800"/>
          <a:chExt cx="7362727" cy="3800476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2176DDE-0F25-AA1E-C705-1AE5084F0CA2}"/>
              </a:ext>
            </a:extLst>
          </xdr:cNvPr>
          <xdr:cNvGraphicFramePr/>
        </xdr:nvGraphicFramePr>
        <xdr:xfrm>
          <a:off x="5759549" y="2336800"/>
          <a:ext cx="7362727" cy="38004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1">
        <xdr:nvSpPr>
          <xdr:cNvPr id="9" name="TextBox 8">
            <a:extLst>
              <a:ext uri="{FF2B5EF4-FFF2-40B4-BE49-F238E27FC236}">
                <a16:creationId xmlns:a16="http://schemas.microsoft.com/office/drawing/2014/main" id="{0451A510-E4FD-9301-58E3-E7DF26A4682C}"/>
              </a:ext>
            </a:extLst>
          </xdr:cNvPr>
          <xdr:cNvSpPr txBox="1"/>
        </xdr:nvSpPr>
        <xdr:spPr>
          <a:xfrm>
            <a:off x="5762626" y="2695576"/>
            <a:ext cx="7353101" cy="304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7422FF37-C572-4941-AC24-76D8E4CE9FD5}" type="TxLink">
              <a:rPr lang="en-US" sz="1100" b="0" i="0" u="none" strike="noStrike">
                <a:solidFill>
                  <a:srgbClr val="000000"/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pPr algn="ctr"/>
              <a:t>How Long Does it Take Each EV to Travel 1,000 Miles?</a:t>
            </a:fld>
            <a:endParaRPr lang="en-US" sz="1100" b="0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</xdr:grpSp>
    <xdr:clientData/>
  </xdr:twoCellAnchor>
  <xdr:twoCellAnchor>
    <xdr:from>
      <xdr:col>0</xdr:col>
      <xdr:colOff>47624</xdr:colOff>
      <xdr:row>44</xdr:row>
      <xdr:rowOff>66675</xdr:rowOff>
    </xdr:from>
    <xdr:to>
      <xdr:col>6</xdr:col>
      <xdr:colOff>1885949</xdr:colOff>
      <xdr:row>59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F7E7B5-6D6C-4E07-62A3-515F860E6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eia.gov/electricity/monthly/epm_table_grapher.php?t=epmt_5_6_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chevrolet/equinox_ev/equinox_ev_awd/rangeandconsum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FDB3-0D2A-45D4-9FE5-83621FB09F06}">
  <sheetPr>
    <tabColor theme="4"/>
  </sheetPr>
  <dimension ref="A1:S44"/>
  <sheetViews>
    <sheetView tabSelected="1" zoomScaleNormal="100" workbookViewId="0">
      <selection activeCell="H2" sqref="H2"/>
    </sheetView>
  </sheetViews>
  <sheetFormatPr defaultColWidth="8.81640625" defaultRowHeight="14.5" x14ac:dyDescent="0.35"/>
  <cols>
    <col min="1" max="1" width="19.36328125" bestFit="1" customWidth="1"/>
    <col min="2" max="2" width="13.453125" bestFit="1" customWidth="1"/>
    <col min="3" max="3" width="14.90625" bestFit="1" customWidth="1"/>
    <col min="4" max="4" width="11.81640625" bestFit="1" customWidth="1"/>
    <col min="5" max="5" width="10.6328125" bestFit="1" customWidth="1"/>
    <col min="6" max="6" width="8.81640625" customWidth="1"/>
    <col min="7" max="7" width="37.54296875" bestFit="1" customWidth="1"/>
    <col min="9" max="9" width="87.81640625" customWidth="1"/>
    <col min="19" max="19" width="25.1796875" bestFit="1" customWidth="1"/>
  </cols>
  <sheetData>
    <row r="1" spans="1:19" ht="15" thickBot="1" x14ac:dyDescent="0.4">
      <c r="A1" s="59" t="str">
        <f>"How Long Does it Take Each EV to Travel "&amp;TEXT(H2,"###,##0")&amp;" Miles?"</f>
        <v>How Long Does it Take Each EV to Travel 1,000 Miles?</v>
      </c>
      <c r="B1" s="60"/>
      <c r="C1" s="60"/>
      <c r="D1" s="60"/>
      <c r="E1" s="60"/>
      <c r="G1" s="4" t="s">
        <v>101</v>
      </c>
      <c r="H1" s="54" t="s">
        <v>117</v>
      </c>
      <c r="I1" s="54" t="s">
        <v>784</v>
      </c>
    </row>
    <row r="2" spans="1:19" ht="15" thickBot="1" x14ac:dyDescent="0.4">
      <c r="A2" s="53" t="s">
        <v>782</v>
      </c>
      <c r="B2" s="53" t="s">
        <v>110</v>
      </c>
      <c r="C2" s="53" t="s">
        <v>99</v>
      </c>
      <c r="D2" s="53" t="s">
        <v>111</v>
      </c>
      <c r="E2" s="53" t="s">
        <v>780</v>
      </c>
      <c r="G2" s="21" t="s">
        <v>96</v>
      </c>
      <c r="H2" s="22">
        <v>1000</v>
      </c>
      <c r="I2" s="55"/>
      <c r="S2" s="50"/>
    </row>
    <row r="3" spans="1:19" ht="15" thickBot="1" x14ac:dyDescent="0.4">
      <c r="A3" s="5" t="s">
        <v>768</v>
      </c>
      <c r="B3" s="51">
        <f t="shared" ref="B3:B10" ca="1" si="0">SUM(INDIRECT("'" &amp; $A3 &amp; "'!$H$24:$H$25"))</f>
        <v>0.61954365079365081</v>
      </c>
      <c r="C3" s="51" cm="1">
        <f t="array" aca="1" ref="C3" ca="1">INDIRECT("'" &amp; $A3 &amp; "'!$H$26")</f>
        <v>0.17122406711222496</v>
      </c>
      <c r="D3" s="51" cm="1">
        <f t="array" aca="1" ref="D3" ca="1">INDIRECT("'" &amp; $A3 &amp; "'!$H$27")</f>
        <v>0.79076771790587586</v>
      </c>
      <c r="E3" s="45" cm="1">
        <f t="array" aca="1" ref="E3" ca="1">INDIRECT("'" &amp; $A3 &amp; "'!$G$35")</f>
        <v>139.06054736842106</v>
      </c>
      <c r="G3" s="21" t="s">
        <v>115</v>
      </c>
      <c r="H3" s="24">
        <v>2.5</v>
      </c>
      <c r="I3" s="55"/>
      <c r="S3" s="50"/>
    </row>
    <row r="4" spans="1:19" ht="15" thickBot="1" x14ac:dyDescent="0.4">
      <c r="A4" s="5" t="s">
        <v>755</v>
      </c>
      <c r="B4" s="51">
        <f t="shared" ca="1" si="0"/>
        <v>0.61954365079365081</v>
      </c>
      <c r="C4" s="51" cm="1">
        <f t="array" aca="1" ref="C4" ca="1">INDIRECT("'" &amp; $A4 &amp; "'!$H$26")</f>
        <v>0.16081534796458261</v>
      </c>
      <c r="D4" s="51" cm="1">
        <f t="array" aca="1" ref="D4" ca="1">INDIRECT("'" &amp; $A4 &amp; "'!$H$27")</f>
        <v>0.78035899875823345</v>
      </c>
      <c r="E4" s="45" cm="1">
        <f t="array" aca="1" ref="E4" ca="1">INDIRECT("'" &amp; $A4 &amp; "'!$G$35")</f>
        <v>205.54620000000003</v>
      </c>
      <c r="G4" s="21" t="s">
        <v>98</v>
      </c>
      <c r="H4" s="22">
        <v>25</v>
      </c>
      <c r="I4" s="55"/>
      <c r="S4" s="50"/>
    </row>
    <row r="5" spans="1:19" ht="15" thickBot="1" x14ac:dyDescent="0.4">
      <c r="A5" s="5" t="s">
        <v>688</v>
      </c>
      <c r="B5" s="51">
        <f t="shared" ca="1" si="0"/>
        <v>0.61954365079365081</v>
      </c>
      <c r="C5" s="51" cm="1">
        <f t="array" aca="1" ref="C5" ca="1">INDIRECT("'" &amp; $A5 &amp; "'!$H$26")</f>
        <v>0.12418923320305229</v>
      </c>
      <c r="D5" s="51" cm="1">
        <f t="array" aca="1" ref="D5" ca="1">INDIRECT("'" &amp; $A5 &amp; "'!$H$27")</f>
        <v>0.74373288399670312</v>
      </c>
      <c r="E5" s="45" cm="1">
        <f t="array" aca="1" ref="E5" ca="1">INDIRECT("'" &amp; $A5 &amp; "'!$G$35")</f>
        <v>131.93024321608038</v>
      </c>
      <c r="G5" s="21" t="s">
        <v>97</v>
      </c>
      <c r="H5" s="22">
        <v>70</v>
      </c>
      <c r="I5" s="55"/>
      <c r="S5" s="50"/>
    </row>
    <row r="6" spans="1:19" ht="15" thickBot="1" x14ac:dyDescent="0.4">
      <c r="A6" s="5" t="s">
        <v>690</v>
      </c>
      <c r="B6" s="51">
        <f t="shared" ca="1" si="0"/>
        <v>0.60912698412698407</v>
      </c>
      <c r="C6" s="51" cm="1">
        <f t="array" aca="1" ref="C6" ca="1">INDIRECT("'" &amp; $A6 &amp; "'!$H$26")</f>
        <v>0.1199613617376775</v>
      </c>
      <c r="D6" s="51" cm="1">
        <f t="array" aca="1" ref="D6" ca="1">INDIRECT("'" &amp; $A6 &amp; "'!$H$27")</f>
        <v>0.72908834586466165</v>
      </c>
      <c r="E6" s="45" cm="1">
        <f t="array" aca="1" ref="E6" ca="1">INDIRECT("'" &amp; $A6 &amp; "'!$G$35")</f>
        <v>123.24094035087715</v>
      </c>
      <c r="G6" s="21" t="s">
        <v>691</v>
      </c>
      <c r="H6" s="22">
        <v>30</v>
      </c>
      <c r="I6" s="55"/>
      <c r="S6" s="50"/>
    </row>
    <row r="7" spans="1:19" ht="15" thickBot="1" x14ac:dyDescent="0.4">
      <c r="A7" s="5" t="s">
        <v>687</v>
      </c>
      <c r="B7" s="51">
        <f t="shared" ca="1" si="0"/>
        <v>0.61259920634920639</v>
      </c>
      <c r="C7" s="51" cm="1">
        <f t="array" aca="1" ref="C7" ca="1">INDIRECT("'" &amp; $A7 &amp; "'!$H$26")</f>
        <v>0.11621987722558158</v>
      </c>
      <c r="D7" s="51" cm="1">
        <f t="array" aca="1" ref="D7" ca="1">INDIRECT("'" &amp; $A7 &amp; "'!$H$27")</f>
        <v>0.72881908357478797</v>
      </c>
      <c r="E7" s="45" cm="1">
        <f t="array" aca="1" ref="E7" ca="1">INDIRECT("'" &amp; $A7 &amp; "'!$G$35")</f>
        <v>132.39721428571426</v>
      </c>
      <c r="G7" s="21" t="s">
        <v>109</v>
      </c>
      <c r="H7" s="25">
        <v>1</v>
      </c>
      <c r="I7" s="55"/>
      <c r="S7" s="50"/>
    </row>
    <row r="8" spans="1:19" ht="15" thickBot="1" x14ac:dyDescent="0.4">
      <c r="A8" s="5" t="s">
        <v>689</v>
      </c>
      <c r="B8" s="51">
        <f t="shared" ca="1" si="0"/>
        <v>0.61259920634920639</v>
      </c>
      <c r="C8" s="51" cm="1">
        <f t="array" aca="1" ref="C8" ca="1">INDIRECT("'" &amp; $A8 &amp; "'!$H$26")</f>
        <v>9.3523810907440594E-2</v>
      </c>
      <c r="D8" s="51" cm="1">
        <f t="array" aca="1" ref="D8" ca="1">INDIRECT("'" &amp; $A8 &amp; "'!$H$27")</f>
        <v>0.70612301725664695</v>
      </c>
      <c r="E8" s="45" cm="1">
        <f t="array" aca="1" ref="E8" ca="1">INDIRECT("'" &amp; $A8 &amp; "'!$G$35")</f>
        <v>127.67714728033472</v>
      </c>
      <c r="G8" s="21" t="s">
        <v>113</v>
      </c>
      <c r="H8" s="25">
        <v>0.1</v>
      </c>
      <c r="I8" s="55"/>
      <c r="S8" s="50"/>
    </row>
    <row r="9" spans="1:19" ht="15" thickBot="1" x14ac:dyDescent="0.4">
      <c r="A9" s="5" t="s">
        <v>686</v>
      </c>
      <c r="B9" s="51">
        <f t="shared" ca="1" si="0"/>
        <v>0.60912698412698407</v>
      </c>
      <c r="C9" s="51" cm="1">
        <f t="array" aca="1" ref="C9" ca="1">INDIRECT("'" &amp; $A9 &amp; "'!$H$26")</f>
        <v>8.2540684624017938E-2</v>
      </c>
      <c r="D9" s="51" cm="1">
        <f t="array" aca="1" ref="D9" ca="1">INDIRECT("'" &amp; $A9 &amp; "'!$H$27")</f>
        <v>0.69166766875100205</v>
      </c>
      <c r="E9" s="45" cm="1">
        <f t="array" aca="1" ref="E9" ca="1">INDIRECT("'" &amp; $A9 &amp; "'!$G$35")</f>
        <v>100.62307138047139</v>
      </c>
      <c r="G9" s="21" t="s">
        <v>114</v>
      </c>
      <c r="H9" s="25">
        <v>0.8</v>
      </c>
      <c r="I9" s="55"/>
      <c r="S9" s="50"/>
    </row>
    <row r="10" spans="1:19" ht="15" thickBot="1" x14ac:dyDescent="0.4">
      <c r="A10" s="5" t="s">
        <v>685</v>
      </c>
      <c r="B10" s="51">
        <f t="shared" ca="1" si="0"/>
        <v>0.60912698412698407</v>
      </c>
      <c r="C10" s="51" cm="1">
        <f t="array" aca="1" ref="C10" ca="1">INDIRECT("'" &amp; $A10 &amp; "'!$H$26")</f>
        <v>3.6066100823045275E-2</v>
      </c>
      <c r="D10" s="51" cm="1">
        <f t="array" aca="1" ref="D10" ca="1">INDIRECT("'" &amp; $A10 &amp; "'!$H$27")</f>
        <v>0.64519308495002947</v>
      </c>
      <c r="E10" s="45" cm="1">
        <f t="array" aca="1" ref="E10" ca="1">INDIRECT("'" &amp; $A10 &amp; "'!$G$35")</f>
        <v>84.607945679012346</v>
      </c>
      <c r="G10" s="21" t="s">
        <v>771</v>
      </c>
      <c r="H10" s="46">
        <v>0.1694</v>
      </c>
      <c r="I10" s="56" t="s">
        <v>783</v>
      </c>
      <c r="S10" s="48"/>
    </row>
    <row r="11" spans="1:19" ht="15" thickBot="1" x14ac:dyDescent="0.4">
      <c r="G11" s="21" t="s">
        <v>772</v>
      </c>
      <c r="H11" s="46">
        <v>0.46</v>
      </c>
      <c r="I11" s="56" t="s">
        <v>787</v>
      </c>
    </row>
    <row r="35" spans="1:4" x14ac:dyDescent="0.35">
      <c r="A35" s="52" t="s">
        <v>782</v>
      </c>
      <c r="B35" s="52" t="s">
        <v>780</v>
      </c>
      <c r="C35" s="49"/>
      <c r="D35" s="49"/>
    </row>
    <row r="36" spans="1:4" x14ac:dyDescent="0.35">
      <c r="A36" s="5" t="s">
        <v>685</v>
      </c>
      <c r="B36" s="47" cm="1">
        <f t="array" aca="1" ref="B36" ca="1">INDIRECT("'" &amp; $A36 &amp; "'!$G$35")</f>
        <v>84.607945679012346</v>
      </c>
      <c r="C36" s="49"/>
      <c r="D36" s="49"/>
    </row>
    <row r="37" spans="1:4" x14ac:dyDescent="0.35">
      <c r="A37" s="5" t="s">
        <v>686</v>
      </c>
      <c r="B37" s="47" cm="1">
        <f t="array" aca="1" ref="B37" ca="1">INDIRECT("'" &amp; $A37 &amp; "'!$G$35")</f>
        <v>100.62307138047139</v>
      </c>
      <c r="C37" s="49"/>
      <c r="D37" s="49"/>
    </row>
    <row r="38" spans="1:4" x14ac:dyDescent="0.35">
      <c r="A38" s="5" t="s">
        <v>690</v>
      </c>
      <c r="B38" s="47" cm="1">
        <f t="array" aca="1" ref="B38" ca="1">INDIRECT("'" &amp; $A38 &amp; "'!$G$35")</f>
        <v>123.24094035087715</v>
      </c>
      <c r="C38" s="49"/>
      <c r="D38" s="49"/>
    </row>
    <row r="39" spans="1:4" x14ac:dyDescent="0.35">
      <c r="A39" s="5" t="s">
        <v>689</v>
      </c>
      <c r="B39" s="47" cm="1">
        <f t="array" aca="1" ref="B39" ca="1">INDIRECT("'" &amp; $A39 &amp; "'!$G$35")</f>
        <v>127.67714728033472</v>
      </c>
      <c r="C39" s="49"/>
      <c r="D39" s="49"/>
    </row>
    <row r="40" spans="1:4" x14ac:dyDescent="0.35">
      <c r="A40" s="5" t="s">
        <v>688</v>
      </c>
      <c r="B40" s="47" cm="1">
        <f t="array" aca="1" ref="B40" ca="1">INDIRECT("'" &amp; $A40 &amp; "'!$G$35")</f>
        <v>131.93024321608038</v>
      </c>
      <c r="C40" s="49"/>
      <c r="D40" s="49"/>
    </row>
    <row r="41" spans="1:4" x14ac:dyDescent="0.35">
      <c r="A41" s="5" t="s">
        <v>687</v>
      </c>
      <c r="B41" s="47" cm="1">
        <f t="array" aca="1" ref="B41" ca="1">INDIRECT("'" &amp; $A41 &amp; "'!$G$35")</f>
        <v>132.39721428571426</v>
      </c>
      <c r="C41" s="49"/>
      <c r="D41" s="49"/>
    </row>
    <row r="42" spans="1:4" x14ac:dyDescent="0.35">
      <c r="A42" s="5" t="s">
        <v>768</v>
      </c>
      <c r="B42" s="47" cm="1">
        <f t="array" aca="1" ref="B42" ca="1">INDIRECT("'" &amp; $A42 &amp; "'!$G$35")</f>
        <v>139.06054736842106</v>
      </c>
      <c r="C42" s="49"/>
      <c r="D42" s="49"/>
    </row>
    <row r="43" spans="1:4" x14ac:dyDescent="0.35">
      <c r="A43" s="5" t="s">
        <v>755</v>
      </c>
      <c r="B43" s="47" cm="1">
        <f t="array" aca="1" ref="B43" ca="1">INDIRECT("'" &amp; $A43 &amp; "'!$G$35")</f>
        <v>205.54620000000003</v>
      </c>
      <c r="C43" s="49"/>
      <c r="D43" s="49"/>
    </row>
    <row r="44" spans="1:4" x14ac:dyDescent="0.35">
      <c r="A44" s="49"/>
      <c r="B44" s="49"/>
      <c r="C44" s="49"/>
      <c r="D44" s="49"/>
    </row>
  </sheetData>
  <autoFilter ref="A35:B43" xr:uid="{D62EFDB3-0D2A-45D4-9FE5-83621FB09F06}">
    <sortState xmlns:xlrd2="http://schemas.microsoft.com/office/spreadsheetml/2017/richdata2" ref="A36:B43">
      <sortCondition ref="B35:B43"/>
    </sortState>
  </autoFilter>
  <sortState xmlns:xlrd2="http://schemas.microsoft.com/office/spreadsheetml/2017/richdata2" ref="A36:C43">
    <sortCondition descending="1" ref="B36:B43"/>
  </sortState>
  <mergeCells count="1">
    <mergeCell ref="A1:E1"/>
  </mergeCells>
  <hyperlinks>
    <hyperlink ref="I10" r:id="rId1" xr:uid="{E499DEEA-C0B3-45C0-9217-D893B6700B1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0A46-7023-417A-A2D2-2BF0D13117EF}">
  <dimension ref="A1:J103"/>
  <sheetViews>
    <sheetView workbookViewId="0">
      <selection activeCell="I38" sqref="I38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0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2</v>
      </c>
      <c r="C3" s="13">
        <v>2.5462962962962961E-4</v>
      </c>
      <c r="D3" s="14" t="s">
        <v>562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559</v>
      </c>
    </row>
    <row r="4" spans="1:10" ht="15" thickBot="1" x14ac:dyDescent="0.4">
      <c r="A4" s="11">
        <v>0.02</v>
      </c>
      <c r="B4" s="12" t="s">
        <v>4</v>
      </c>
      <c r="C4" s="13">
        <v>4.1666666666666669E-4</v>
      </c>
      <c r="D4" s="14" t="s">
        <v>402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324</v>
      </c>
    </row>
    <row r="5" spans="1:10" ht="15" thickBot="1" x14ac:dyDescent="0.4">
      <c r="A5" s="11">
        <v>0.03</v>
      </c>
      <c r="B5" s="12" t="s">
        <v>6</v>
      </c>
      <c r="C5" s="13">
        <v>5.6712962962962956E-4</v>
      </c>
      <c r="D5" s="14" t="s">
        <v>563</v>
      </c>
      <c r="F5" s="21" t="s">
        <v>98</v>
      </c>
      <c r="G5" s="38">
        <f>Summary!H4</f>
        <v>25</v>
      </c>
      <c r="H5" s="23"/>
      <c r="I5" s="6" t="s">
        <v>108</v>
      </c>
      <c r="J5" s="20" t="s">
        <v>560</v>
      </c>
    </row>
    <row r="6" spans="1:10" ht="15" thickBot="1" x14ac:dyDescent="0.4">
      <c r="A6" s="11">
        <v>0.04</v>
      </c>
      <c r="B6" s="12" t="s">
        <v>6</v>
      </c>
      <c r="C6" s="13">
        <v>7.175925925925927E-4</v>
      </c>
      <c r="D6" s="14" t="s">
        <v>564</v>
      </c>
      <c r="F6" s="21" t="s">
        <v>97</v>
      </c>
      <c r="G6" s="38">
        <f>Summary!H5</f>
        <v>70</v>
      </c>
      <c r="H6" s="23"/>
      <c r="I6" s="6" t="s">
        <v>106</v>
      </c>
      <c r="J6" s="20" t="s">
        <v>561</v>
      </c>
    </row>
    <row r="7" spans="1:10" x14ac:dyDescent="0.35">
      <c r="A7" s="11">
        <v>0.05</v>
      </c>
      <c r="B7" s="12" t="s">
        <v>9</v>
      </c>
      <c r="C7" s="13">
        <v>8.7962962962962962E-4</v>
      </c>
      <c r="D7" s="14" t="s">
        <v>494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11</v>
      </c>
      <c r="C8" s="13">
        <v>1.0300925925925926E-3</v>
      </c>
      <c r="D8" s="14" t="s">
        <v>565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12</v>
      </c>
      <c r="C9" s="13">
        <v>1.1805555555555556E-3</v>
      </c>
      <c r="D9" s="14" t="s">
        <v>566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324</v>
      </c>
    </row>
    <row r="10" spans="1:10" x14ac:dyDescent="0.35">
      <c r="A10" s="11">
        <v>0.08</v>
      </c>
      <c r="B10" s="12" t="s">
        <v>12</v>
      </c>
      <c r="C10" s="13">
        <v>1.3310185185185185E-3</v>
      </c>
      <c r="D10" s="14" t="s">
        <v>567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4.3783783783783781</v>
      </c>
    </row>
    <row r="11" spans="1:10" x14ac:dyDescent="0.35">
      <c r="A11" s="11">
        <v>0.09</v>
      </c>
      <c r="B11" s="12" t="s">
        <v>14</v>
      </c>
      <c r="C11" s="13">
        <v>1.4814814814814814E-3</v>
      </c>
      <c r="D11" s="14" t="s">
        <v>568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204.57746478873239</v>
      </c>
    </row>
    <row r="12" spans="1:10" x14ac:dyDescent="0.35">
      <c r="A12" s="11">
        <v>0.1</v>
      </c>
      <c r="B12" s="12" t="s">
        <v>15</v>
      </c>
      <c r="C12" s="13">
        <v>1.6319444444444445E-3</v>
      </c>
      <c r="D12" s="14" t="s">
        <v>496</v>
      </c>
      <c r="F12" s="21" t="s">
        <v>772</v>
      </c>
      <c r="G12" s="41">
        <f>Summary!H11</f>
        <v>0.46</v>
      </c>
      <c r="H12" s="49"/>
    </row>
    <row r="13" spans="1:10" x14ac:dyDescent="0.35">
      <c r="A13" s="11">
        <v>0.11</v>
      </c>
      <c r="B13" s="12" t="s">
        <v>15</v>
      </c>
      <c r="C13" s="13">
        <v>1.7824074074074072E-3</v>
      </c>
      <c r="D13" s="14" t="s">
        <v>569</v>
      </c>
      <c r="F13" s="49"/>
      <c r="G13" s="49"/>
      <c r="H13" s="49"/>
    </row>
    <row r="14" spans="1:10" x14ac:dyDescent="0.35">
      <c r="A14" s="11">
        <v>0.12</v>
      </c>
      <c r="B14" s="12" t="s">
        <v>16</v>
      </c>
      <c r="C14" s="13">
        <v>1.9328703703703704E-3</v>
      </c>
      <c r="D14" s="14" t="s">
        <v>570</v>
      </c>
      <c r="F14" s="4" t="s">
        <v>693</v>
      </c>
      <c r="G14" s="27" t="s">
        <v>785</v>
      </c>
      <c r="H14" s="27" t="s">
        <v>786</v>
      </c>
    </row>
    <row r="15" spans="1:10" x14ac:dyDescent="0.35">
      <c r="A15" s="11">
        <v>0.13</v>
      </c>
      <c r="B15" s="12" t="s">
        <v>16</v>
      </c>
      <c r="C15" s="13">
        <v>2.0833333333333333E-3</v>
      </c>
      <c r="D15" s="14" t="s">
        <v>17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0.2761111111111112</v>
      </c>
      <c r="H15" s="57">
        <f>G15/24</f>
        <v>1.1504629629629634E-2</v>
      </c>
    </row>
    <row r="16" spans="1:10" x14ac:dyDescent="0.35">
      <c r="A16" s="11">
        <v>0.14000000000000001</v>
      </c>
      <c r="B16" s="12" t="s">
        <v>19</v>
      </c>
      <c r="C16" s="13">
        <v>2.2337962962962967E-3</v>
      </c>
      <c r="D16" s="14" t="s">
        <v>18</v>
      </c>
      <c r="F16" s="49"/>
      <c r="G16" s="49"/>
      <c r="H16" s="49"/>
    </row>
    <row r="17" spans="1:9" x14ac:dyDescent="0.35">
      <c r="A17" s="11">
        <v>0.15</v>
      </c>
      <c r="B17" s="12" t="s">
        <v>19</v>
      </c>
      <c r="C17" s="13">
        <v>2.3842592592592591E-3</v>
      </c>
      <c r="D17" s="14" t="s">
        <v>143</v>
      </c>
      <c r="F17" s="4" t="s">
        <v>694</v>
      </c>
      <c r="G17" s="27" t="s">
        <v>117</v>
      </c>
      <c r="H17" s="49"/>
    </row>
    <row r="18" spans="1:9" x14ac:dyDescent="0.35">
      <c r="A18" s="11">
        <v>0.16</v>
      </c>
      <c r="B18" s="12" t="s">
        <v>16</v>
      </c>
      <c r="C18" s="13">
        <v>2.5231481481481481E-3</v>
      </c>
      <c r="D18" s="14" t="s">
        <v>145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2.9805996472663137</v>
      </c>
      <c r="H18" s="49"/>
    </row>
    <row r="19" spans="1:9" x14ac:dyDescent="0.35">
      <c r="A19" s="11">
        <v>0.17</v>
      </c>
      <c r="B19" s="12" t="s">
        <v>19</v>
      </c>
      <c r="C19" s="13">
        <v>2.673611111111111E-3</v>
      </c>
      <c r="D19" s="14" t="s">
        <v>147</v>
      </c>
      <c r="F19" s="21" t="str">
        <f>"Number of Charges for "&amp;G5&amp;" Miles Remaing"</f>
        <v>Number of Charges for 25 Miles Remaing</v>
      </c>
      <c r="G19" s="26">
        <f>(G5/((J4*(G10-G9))))</f>
        <v>0.11022927689594356</v>
      </c>
      <c r="H19" s="49"/>
    </row>
    <row r="20" spans="1:9" x14ac:dyDescent="0.35">
      <c r="A20" s="11">
        <v>0.18</v>
      </c>
      <c r="B20" s="12" t="s">
        <v>23</v>
      </c>
      <c r="C20" s="13">
        <v>2.8240740740740739E-3</v>
      </c>
      <c r="D20" s="14" t="s">
        <v>571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4.4091710758377423E-2</v>
      </c>
      <c r="H20" s="49"/>
    </row>
    <row r="21" spans="1:9" x14ac:dyDescent="0.35">
      <c r="A21" s="11">
        <v>0.19</v>
      </c>
      <c r="B21" s="12" t="s">
        <v>23</v>
      </c>
      <c r="C21" s="13">
        <v>2.9745370370370373E-3</v>
      </c>
      <c r="D21" s="14" t="s">
        <v>572</v>
      </c>
      <c r="F21" s="21" t="s">
        <v>770</v>
      </c>
      <c r="G21" s="26">
        <f>SUM(G18:G20)</f>
        <v>3.1349206349206344</v>
      </c>
      <c r="H21" s="49"/>
    </row>
    <row r="22" spans="1:9" x14ac:dyDescent="0.35">
      <c r="A22" s="11">
        <v>0.2</v>
      </c>
      <c r="B22" s="12" t="s">
        <v>23</v>
      </c>
      <c r="C22" s="13">
        <v>3.1249999999999997E-3</v>
      </c>
      <c r="D22" s="14" t="s">
        <v>573</v>
      </c>
      <c r="F22" s="49"/>
      <c r="G22" s="49"/>
      <c r="H22" s="49"/>
    </row>
    <row r="23" spans="1:9" x14ac:dyDescent="0.35">
      <c r="A23" s="11">
        <v>0.21</v>
      </c>
      <c r="B23" s="12" t="s">
        <v>23</v>
      </c>
      <c r="C23" s="13">
        <v>3.2638888888888891E-3</v>
      </c>
      <c r="D23" s="14" t="s">
        <v>574</v>
      </c>
      <c r="F23" s="4" t="s">
        <v>773</v>
      </c>
      <c r="G23" s="27" t="s">
        <v>785</v>
      </c>
      <c r="H23" s="27" t="s">
        <v>786</v>
      </c>
    </row>
    <row r="24" spans="1:9" x14ac:dyDescent="0.35">
      <c r="A24" s="11">
        <v>0.22</v>
      </c>
      <c r="B24" s="12" t="s">
        <v>23</v>
      </c>
      <c r="C24" s="13">
        <v>3.414351851851852E-3</v>
      </c>
      <c r="D24" s="14" t="s">
        <v>575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9" x14ac:dyDescent="0.35">
      <c r="A25" s="11">
        <v>0.23</v>
      </c>
      <c r="B25" s="12" t="s">
        <v>26</v>
      </c>
      <c r="C25" s="13">
        <v>3.5648148148148154E-3</v>
      </c>
      <c r="D25" s="14" t="s">
        <v>313</v>
      </c>
      <c r="E25" s="1"/>
      <c r="F25" s="34" t="s">
        <v>116</v>
      </c>
      <c r="G25" s="37">
        <f>ROUNDUP(G21,0)*((G4/G7))</f>
        <v>0.33333333333333331</v>
      </c>
      <c r="H25" s="57">
        <f>G25/24</f>
        <v>1.3888888888888888E-2</v>
      </c>
    </row>
    <row r="26" spans="1:9" x14ac:dyDescent="0.35">
      <c r="A26" s="11">
        <v>0.24</v>
      </c>
      <c r="B26" s="12" t="s">
        <v>26</v>
      </c>
      <c r="C26" s="13">
        <v>3.7152777777777774E-3</v>
      </c>
      <c r="D26" s="14" t="s">
        <v>315</v>
      </c>
      <c r="F26" s="34" t="s">
        <v>99</v>
      </c>
      <c r="G26" s="37">
        <f>G21*G15</f>
        <v>0.86558641975308659</v>
      </c>
      <c r="H26" s="57">
        <f>G26/24</f>
        <v>3.6066100823045275E-2</v>
      </c>
    </row>
    <row r="27" spans="1:9" x14ac:dyDescent="0.35">
      <c r="A27" s="11">
        <v>0.25</v>
      </c>
      <c r="B27" s="12" t="s">
        <v>26</v>
      </c>
      <c r="C27" s="13">
        <v>3.8657407407407408E-3</v>
      </c>
      <c r="D27" s="14" t="s">
        <v>423</v>
      </c>
      <c r="F27" s="35" t="s">
        <v>112</v>
      </c>
      <c r="G27" s="36">
        <f>SUM(G24:G26)</f>
        <v>15.484634038800706</v>
      </c>
      <c r="H27" s="58">
        <f>G27/24</f>
        <v>0.64519308495002947</v>
      </c>
    </row>
    <row r="28" spans="1:9" x14ac:dyDescent="0.35">
      <c r="A28" s="11">
        <v>0.26</v>
      </c>
      <c r="B28" s="12" t="s">
        <v>26</v>
      </c>
      <c r="C28" s="13">
        <v>4.0046296296296297E-3</v>
      </c>
      <c r="D28" s="14" t="s">
        <v>28</v>
      </c>
      <c r="F28" s="49"/>
      <c r="G28" s="49"/>
      <c r="H28" s="49"/>
    </row>
    <row r="29" spans="1:9" x14ac:dyDescent="0.35">
      <c r="A29" s="11">
        <v>0.27</v>
      </c>
      <c r="B29" s="12" t="s">
        <v>576</v>
      </c>
      <c r="C29" s="13">
        <v>4.155092592592593E-3</v>
      </c>
      <c r="D29" s="14" t="s">
        <v>29</v>
      </c>
      <c r="F29" s="4" t="s">
        <v>781</v>
      </c>
      <c r="G29" s="27" t="s">
        <v>117</v>
      </c>
      <c r="H29" s="49"/>
    </row>
    <row r="30" spans="1:9" x14ac:dyDescent="0.35">
      <c r="A30" s="11">
        <v>0.28000000000000003</v>
      </c>
      <c r="B30" s="12" t="s">
        <v>26</v>
      </c>
      <c r="C30" s="13">
        <v>4.3055555555555555E-3</v>
      </c>
      <c r="D30" s="14" t="s">
        <v>577</v>
      </c>
      <c r="F30" s="5" t="s">
        <v>774</v>
      </c>
      <c r="G30" s="44">
        <f>VALUE(LEFT((VLOOKUP(G8,$A$2:$D$102,4,FALSE)),LEN((VLOOKUP(G8,$A$2:$D$102,4,FALSE)))-4))</f>
        <v>74</v>
      </c>
      <c r="H30" s="49"/>
      <c r="I30" s="42"/>
    </row>
    <row r="31" spans="1:9" x14ac:dyDescent="0.35">
      <c r="A31" s="11">
        <v>0.28999999999999998</v>
      </c>
      <c r="B31" s="12" t="s">
        <v>576</v>
      </c>
      <c r="C31" s="13">
        <v>4.4444444444444444E-3</v>
      </c>
      <c r="D31" s="14" t="s">
        <v>578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51.800000000000004</v>
      </c>
      <c r="H31" s="49"/>
    </row>
    <row r="32" spans="1:9" x14ac:dyDescent="0.35">
      <c r="A32" s="11">
        <v>0.3</v>
      </c>
      <c r="B32" s="12" t="s">
        <v>576</v>
      </c>
      <c r="C32" s="13">
        <v>4.5949074074074078E-3</v>
      </c>
      <c r="D32" s="14" t="s">
        <v>579</v>
      </c>
      <c r="F32" s="5" t="s">
        <v>775</v>
      </c>
      <c r="G32" s="44">
        <f>(G21-G19)*G31</f>
        <v>156.67901234567901</v>
      </c>
      <c r="H32" s="2"/>
      <c r="I32" s="43"/>
    </row>
    <row r="33" spans="1:8" x14ac:dyDescent="0.35">
      <c r="A33" s="11">
        <v>0.31</v>
      </c>
      <c r="B33" s="12" t="s">
        <v>576</v>
      </c>
      <c r="C33" s="13">
        <v>4.7453703703703703E-3</v>
      </c>
      <c r="D33" s="14" t="s">
        <v>172</v>
      </c>
      <c r="F33" s="30" t="s">
        <v>776</v>
      </c>
      <c r="G33" s="45">
        <f>G30*G11</f>
        <v>12.535599999999999</v>
      </c>
      <c r="H33" s="49"/>
    </row>
    <row r="34" spans="1:8" x14ac:dyDescent="0.35">
      <c r="A34" s="11">
        <v>0.32</v>
      </c>
      <c r="B34" s="12" t="s">
        <v>580</v>
      </c>
      <c r="C34" s="13">
        <v>4.8842592592592592E-3</v>
      </c>
      <c r="D34" s="14" t="s">
        <v>174</v>
      </c>
      <c r="F34" s="30" t="s">
        <v>777</v>
      </c>
      <c r="G34" s="45">
        <f>G32*G12</f>
        <v>72.072345679012344</v>
      </c>
      <c r="H34" s="29"/>
    </row>
    <row r="35" spans="1:8" x14ac:dyDescent="0.35">
      <c r="A35" s="11">
        <v>0.33</v>
      </c>
      <c r="B35" s="12" t="s">
        <v>580</v>
      </c>
      <c r="C35" s="13">
        <v>5.0347222222222225E-3</v>
      </c>
      <c r="D35" s="14" t="s">
        <v>581</v>
      </c>
      <c r="F35" s="30" t="s">
        <v>778</v>
      </c>
      <c r="G35" s="67">
        <f>SUM(G33:G34)</f>
        <v>84.607945679012346</v>
      </c>
      <c r="H35" s="49"/>
    </row>
    <row r="36" spans="1:8" x14ac:dyDescent="0.35">
      <c r="A36" s="11">
        <v>0.34</v>
      </c>
      <c r="B36" s="12" t="s">
        <v>580</v>
      </c>
      <c r="C36" s="13">
        <v>5.185185185185185E-3</v>
      </c>
      <c r="D36" s="14" t="s">
        <v>582</v>
      </c>
      <c r="F36" s="49"/>
      <c r="G36" s="49"/>
      <c r="H36" s="49"/>
    </row>
    <row r="37" spans="1:8" x14ac:dyDescent="0.35">
      <c r="A37" s="11">
        <v>0.35</v>
      </c>
      <c r="B37" s="12" t="s">
        <v>580</v>
      </c>
      <c r="C37" s="13">
        <v>5.3240740740740748E-3</v>
      </c>
      <c r="D37" s="14" t="s">
        <v>583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129</v>
      </c>
      <c r="C38" s="13">
        <v>5.4745370370370373E-3</v>
      </c>
      <c r="D38" s="14" t="s">
        <v>584</v>
      </c>
      <c r="F38" s="30" t="str">
        <f>"Fuel Efficiency @"&amp;$G$6&amp; "mph (Miles/kWh)"</f>
        <v>Fuel Efficiency @70mph (Miles/kWh)</v>
      </c>
      <c r="G38" s="66">
        <f>($J$4*($G$10-$G$9))/$G$31</f>
        <v>4.3783783783783781</v>
      </c>
      <c r="H38" s="49"/>
    </row>
    <row r="39" spans="1:8" x14ac:dyDescent="0.35">
      <c r="A39" s="11">
        <v>0.37</v>
      </c>
      <c r="B39" s="12" t="s">
        <v>129</v>
      </c>
      <c r="C39" s="13">
        <v>5.6134259259259271E-3</v>
      </c>
      <c r="D39" s="14" t="s">
        <v>585</v>
      </c>
      <c r="F39" s="30" t="str">
        <f>"Fuel Efficiency @"&amp;$G$6&amp; "mph (kWh/100 mi)"</f>
        <v>Fuel Efficiency @70mph (kWh/100 mi)</v>
      </c>
      <c r="G39" s="66">
        <f>(1/G38)*100</f>
        <v>22.839506172839506</v>
      </c>
      <c r="H39" s="49"/>
    </row>
    <row r="40" spans="1:8" x14ac:dyDescent="0.35">
      <c r="A40" s="11">
        <v>0.38</v>
      </c>
      <c r="B40" s="12" t="s">
        <v>129</v>
      </c>
      <c r="C40" s="13">
        <v>5.7638888888888887E-3</v>
      </c>
      <c r="D40" s="14" t="s">
        <v>586</v>
      </c>
      <c r="F40" s="23"/>
      <c r="G40" s="23"/>
      <c r="H40" s="49"/>
    </row>
    <row r="41" spans="1:8" x14ac:dyDescent="0.35">
      <c r="A41" s="11">
        <v>0.39</v>
      </c>
      <c r="B41" s="12" t="s">
        <v>129</v>
      </c>
      <c r="C41" s="13">
        <v>5.9027777777777776E-3</v>
      </c>
      <c r="D41" s="14" t="s">
        <v>331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587</v>
      </c>
      <c r="C42" s="13">
        <v>6.0416666666666665E-3</v>
      </c>
      <c r="D42" s="14" t="s">
        <v>41</v>
      </c>
      <c r="F42" s="30" t="s">
        <v>790</v>
      </c>
      <c r="G42" s="66" cm="1">
        <f t="array" ref="G42">AVERAGE(VALUE(LEFT(B12:B82, LEN(B12:B82) - 3)))</f>
        <v>204.57746478873239</v>
      </c>
      <c r="H42" s="49"/>
    </row>
    <row r="43" spans="1:8" x14ac:dyDescent="0.35">
      <c r="A43" s="11">
        <v>0.41</v>
      </c>
      <c r="B43" s="12" t="s">
        <v>588</v>
      </c>
      <c r="C43" s="13">
        <v>6.1921296296296299E-3</v>
      </c>
      <c r="D43" s="14" t="s">
        <v>589</v>
      </c>
      <c r="F43" s="49"/>
      <c r="G43" s="49"/>
      <c r="H43" s="49"/>
    </row>
    <row r="44" spans="1:8" x14ac:dyDescent="0.35">
      <c r="A44" s="11">
        <v>0.42</v>
      </c>
      <c r="B44" s="12" t="s">
        <v>587</v>
      </c>
      <c r="C44" s="13">
        <v>6.3310185185185197E-3</v>
      </c>
      <c r="D44" s="14" t="s">
        <v>590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139</v>
      </c>
      <c r="C45" s="13">
        <v>6.4814814814814813E-3</v>
      </c>
      <c r="D45" s="14" t="s">
        <v>591</v>
      </c>
      <c r="F45" s="21" t="s">
        <v>118</v>
      </c>
      <c r="G45" s="31">
        <f>ROUNDUP(G21,0)*G4</f>
        <v>10</v>
      </c>
      <c r="H45" s="49"/>
    </row>
    <row r="46" spans="1:8" x14ac:dyDescent="0.35">
      <c r="A46" s="11">
        <v>0.44</v>
      </c>
      <c r="B46" s="12" t="s">
        <v>139</v>
      </c>
      <c r="C46" s="13">
        <v>6.6203703703703702E-3</v>
      </c>
      <c r="D46" s="14" t="s">
        <v>592</v>
      </c>
      <c r="F46" s="30" t="s">
        <v>119</v>
      </c>
      <c r="G46" s="32">
        <f>G3+G45</f>
        <v>1010</v>
      </c>
      <c r="H46" s="49"/>
    </row>
    <row r="47" spans="1:8" x14ac:dyDescent="0.35">
      <c r="A47" s="11">
        <v>0.45</v>
      </c>
      <c r="B47" s="12" t="s">
        <v>139</v>
      </c>
      <c r="C47" s="13">
        <v>6.7592592592592591E-3</v>
      </c>
      <c r="D47" s="14" t="s">
        <v>593</v>
      </c>
      <c r="F47" s="21" t="s">
        <v>121</v>
      </c>
      <c r="G47" s="31">
        <f>(J4*G8)</f>
        <v>324</v>
      </c>
      <c r="H47" s="49"/>
    </row>
    <row r="48" spans="1:8" x14ac:dyDescent="0.35">
      <c r="A48" s="11">
        <v>0.46</v>
      </c>
      <c r="B48" s="12" t="s">
        <v>594</v>
      </c>
      <c r="C48" s="13">
        <v>6.8981481481481489E-3</v>
      </c>
      <c r="D48" s="14" t="s">
        <v>200</v>
      </c>
      <c r="F48" s="5" t="s">
        <v>120</v>
      </c>
      <c r="G48" s="32">
        <f>G46-G47</f>
        <v>686</v>
      </c>
      <c r="H48" s="49"/>
    </row>
    <row r="49" spans="1:8" x14ac:dyDescent="0.35">
      <c r="A49" s="11">
        <v>0.47</v>
      </c>
      <c r="B49" s="12" t="s">
        <v>595</v>
      </c>
      <c r="C49" s="13">
        <v>7.0486111111111105E-3</v>
      </c>
      <c r="D49" s="14" t="s">
        <v>201</v>
      </c>
      <c r="F49" s="21" t="s">
        <v>123</v>
      </c>
      <c r="G49" s="31">
        <f>G21*(J4*(G10-G9))</f>
        <v>710.99999999999989</v>
      </c>
      <c r="H49" s="49"/>
    </row>
    <row r="50" spans="1:8" x14ac:dyDescent="0.35">
      <c r="A50" s="11">
        <v>0.48</v>
      </c>
      <c r="B50" s="12" t="s">
        <v>596</v>
      </c>
      <c r="C50" s="13">
        <v>7.2222222222222228E-3</v>
      </c>
      <c r="D50" s="14" t="s">
        <v>597</v>
      </c>
      <c r="F50" s="30" t="s">
        <v>122</v>
      </c>
      <c r="G50" s="32">
        <f>ABS(G48-G49)</f>
        <v>24.999999999999886</v>
      </c>
      <c r="H50" s="49"/>
    </row>
    <row r="51" spans="1:8" x14ac:dyDescent="0.35">
      <c r="A51" s="11">
        <v>0.49</v>
      </c>
      <c r="B51" s="12" t="s">
        <v>596</v>
      </c>
      <c r="C51" s="13">
        <v>7.3958333333333341E-3</v>
      </c>
      <c r="D51" s="14" t="s">
        <v>204</v>
      </c>
    </row>
    <row r="52" spans="1:8" x14ac:dyDescent="0.35">
      <c r="A52" s="11">
        <v>0.5</v>
      </c>
      <c r="B52" s="12" t="s">
        <v>596</v>
      </c>
      <c r="C52" s="13">
        <v>7.5810185185185182E-3</v>
      </c>
      <c r="D52" s="14" t="s">
        <v>438</v>
      </c>
    </row>
    <row r="53" spans="1:8" x14ac:dyDescent="0.35">
      <c r="A53" s="11">
        <v>0.51</v>
      </c>
      <c r="B53" s="12" t="s">
        <v>596</v>
      </c>
      <c r="C53" s="13">
        <v>7.7546296296296287E-3</v>
      </c>
      <c r="D53" s="14" t="s">
        <v>439</v>
      </c>
    </row>
    <row r="54" spans="1:8" x14ac:dyDescent="0.35">
      <c r="A54" s="11">
        <v>0.52</v>
      </c>
      <c r="B54" s="12" t="s">
        <v>598</v>
      </c>
      <c r="C54" s="13">
        <v>7.9282407407407409E-3</v>
      </c>
      <c r="D54" s="14" t="s">
        <v>441</v>
      </c>
    </row>
    <row r="55" spans="1:8" x14ac:dyDescent="0.35">
      <c r="A55" s="11">
        <v>0.53</v>
      </c>
      <c r="B55" s="12" t="s">
        <v>598</v>
      </c>
      <c r="C55" s="13">
        <v>8.113425925925925E-3</v>
      </c>
      <c r="D55" s="14" t="s">
        <v>47</v>
      </c>
    </row>
    <row r="56" spans="1:8" x14ac:dyDescent="0.35">
      <c r="A56" s="11">
        <v>0.54</v>
      </c>
      <c r="B56" s="12" t="s">
        <v>152</v>
      </c>
      <c r="C56" s="13">
        <v>8.2870370370370372E-3</v>
      </c>
      <c r="D56" s="14" t="s">
        <v>48</v>
      </c>
    </row>
    <row r="57" spans="1:8" x14ac:dyDescent="0.35">
      <c r="A57" s="11">
        <v>0.55000000000000004</v>
      </c>
      <c r="B57" s="12" t="s">
        <v>152</v>
      </c>
      <c r="C57" s="13">
        <v>8.4606481481481494E-3</v>
      </c>
      <c r="D57" s="14" t="s">
        <v>599</v>
      </c>
    </row>
    <row r="58" spans="1:8" x14ac:dyDescent="0.35">
      <c r="A58" s="11">
        <v>0.56000000000000005</v>
      </c>
      <c r="B58" s="12" t="s">
        <v>600</v>
      </c>
      <c r="C58" s="13">
        <v>8.6342592592592599E-3</v>
      </c>
      <c r="D58" s="14" t="s">
        <v>517</v>
      </c>
    </row>
    <row r="59" spans="1:8" x14ac:dyDescent="0.35">
      <c r="A59" s="11">
        <v>0.56999999999999995</v>
      </c>
      <c r="B59" s="12" t="s">
        <v>601</v>
      </c>
      <c r="C59" s="13">
        <v>8.819444444444444E-3</v>
      </c>
      <c r="D59" s="14" t="s">
        <v>602</v>
      </c>
    </row>
    <row r="60" spans="1:8" x14ac:dyDescent="0.35">
      <c r="A60" s="11">
        <v>0.57999999999999996</v>
      </c>
      <c r="B60" s="12" t="s">
        <v>603</v>
      </c>
      <c r="C60" s="13">
        <v>9.0046296296296298E-3</v>
      </c>
      <c r="D60" s="14" t="s">
        <v>604</v>
      </c>
    </row>
    <row r="61" spans="1:8" x14ac:dyDescent="0.35">
      <c r="A61" s="11">
        <v>0.59</v>
      </c>
      <c r="B61" s="12" t="s">
        <v>605</v>
      </c>
      <c r="C61" s="13">
        <v>9.1782407407407403E-3</v>
      </c>
      <c r="D61" s="14" t="s">
        <v>606</v>
      </c>
    </row>
    <row r="62" spans="1:8" x14ac:dyDescent="0.35">
      <c r="A62" s="11">
        <v>0.6</v>
      </c>
      <c r="B62" s="12" t="s">
        <v>607</v>
      </c>
      <c r="C62" s="13">
        <v>9.3634259259259261E-3</v>
      </c>
      <c r="D62" s="14" t="s">
        <v>608</v>
      </c>
    </row>
    <row r="63" spans="1:8" x14ac:dyDescent="0.35">
      <c r="A63" s="11">
        <v>0.61</v>
      </c>
      <c r="B63" s="12" t="s">
        <v>598</v>
      </c>
      <c r="C63" s="13">
        <v>9.5370370370370366E-3</v>
      </c>
      <c r="D63" s="14" t="s">
        <v>519</v>
      </c>
    </row>
    <row r="64" spans="1:8" x14ac:dyDescent="0.35">
      <c r="A64" s="11">
        <v>0.62</v>
      </c>
      <c r="B64" s="12" t="s">
        <v>600</v>
      </c>
      <c r="C64" s="13">
        <v>9.7222222222222224E-3</v>
      </c>
      <c r="D64" s="14" t="s">
        <v>348</v>
      </c>
    </row>
    <row r="65" spans="1:4" x14ac:dyDescent="0.35">
      <c r="A65" s="11">
        <v>0.63</v>
      </c>
      <c r="B65" s="12" t="s">
        <v>600</v>
      </c>
      <c r="C65" s="13">
        <v>9.8958333333333329E-3</v>
      </c>
      <c r="D65" s="14" t="s">
        <v>227</v>
      </c>
    </row>
    <row r="66" spans="1:4" x14ac:dyDescent="0.35">
      <c r="A66" s="11">
        <v>0.64</v>
      </c>
      <c r="B66" s="12" t="s">
        <v>150</v>
      </c>
      <c r="C66" s="13">
        <v>1.0069444444444445E-2</v>
      </c>
      <c r="D66" s="14" t="s">
        <v>229</v>
      </c>
    </row>
    <row r="67" spans="1:4" x14ac:dyDescent="0.35">
      <c r="A67" s="11">
        <v>0.65</v>
      </c>
      <c r="B67" s="12" t="s">
        <v>150</v>
      </c>
      <c r="C67" s="13">
        <v>1.0243055555555556E-2</v>
      </c>
      <c r="D67" s="14" t="s">
        <v>609</v>
      </c>
    </row>
    <row r="68" spans="1:4" x14ac:dyDescent="0.35">
      <c r="A68" s="11">
        <v>0.66</v>
      </c>
      <c r="B68" s="12" t="s">
        <v>610</v>
      </c>
      <c r="C68" s="13">
        <v>1.0416666666666666E-2</v>
      </c>
      <c r="D68" s="14" t="s">
        <v>55</v>
      </c>
    </row>
    <row r="69" spans="1:4" x14ac:dyDescent="0.35">
      <c r="A69" s="11">
        <v>0.67</v>
      </c>
      <c r="B69" s="12" t="s">
        <v>611</v>
      </c>
      <c r="C69" s="13">
        <v>1.0590277777777777E-2</v>
      </c>
      <c r="D69" s="14" t="s">
        <v>56</v>
      </c>
    </row>
    <row r="70" spans="1:4" x14ac:dyDescent="0.35">
      <c r="A70" s="11">
        <v>0.68</v>
      </c>
      <c r="B70" s="12" t="s">
        <v>148</v>
      </c>
      <c r="C70" s="13">
        <v>1.0763888888888891E-2</v>
      </c>
      <c r="D70" s="14" t="s">
        <v>612</v>
      </c>
    </row>
    <row r="71" spans="1:4" x14ac:dyDescent="0.35">
      <c r="A71" s="11">
        <v>0.69</v>
      </c>
      <c r="B71" s="12" t="s">
        <v>605</v>
      </c>
      <c r="C71" s="13">
        <v>1.0937500000000001E-2</v>
      </c>
      <c r="D71" s="14" t="s">
        <v>613</v>
      </c>
    </row>
    <row r="72" spans="1:4" x14ac:dyDescent="0.35">
      <c r="A72" s="11">
        <v>0.7</v>
      </c>
      <c r="B72" s="12" t="s">
        <v>605</v>
      </c>
      <c r="C72" s="13">
        <v>1.1122685185185185E-2</v>
      </c>
      <c r="D72" s="14" t="s">
        <v>357</v>
      </c>
    </row>
    <row r="73" spans="1:4" x14ac:dyDescent="0.35">
      <c r="A73" s="11">
        <v>0.71</v>
      </c>
      <c r="B73" s="12" t="s">
        <v>614</v>
      </c>
      <c r="C73" s="13">
        <v>1.1307870370370371E-2</v>
      </c>
      <c r="D73" s="14" t="s">
        <v>615</v>
      </c>
    </row>
    <row r="74" spans="1:4" x14ac:dyDescent="0.35">
      <c r="A74" s="11">
        <v>0.72</v>
      </c>
      <c r="B74" s="12" t="s">
        <v>614</v>
      </c>
      <c r="C74" s="13">
        <v>1.1504629629629629E-2</v>
      </c>
      <c r="D74" s="14" t="s">
        <v>616</v>
      </c>
    </row>
    <row r="75" spans="1:4" x14ac:dyDescent="0.35">
      <c r="A75" s="11">
        <v>0.73</v>
      </c>
      <c r="B75" s="12" t="s">
        <v>614</v>
      </c>
      <c r="C75" s="13">
        <v>1.1701388888888891E-2</v>
      </c>
      <c r="D75" s="14" t="s">
        <v>617</v>
      </c>
    </row>
    <row r="76" spans="1:4" x14ac:dyDescent="0.35">
      <c r="A76" s="11">
        <v>0.74</v>
      </c>
      <c r="B76" s="12" t="s">
        <v>618</v>
      </c>
      <c r="C76" s="13">
        <v>1.1898148148148149E-2</v>
      </c>
      <c r="D76" s="14" t="s">
        <v>619</v>
      </c>
    </row>
    <row r="77" spans="1:4" x14ac:dyDescent="0.35">
      <c r="A77" s="11">
        <v>0.75</v>
      </c>
      <c r="B77" s="12" t="s">
        <v>618</v>
      </c>
      <c r="C77" s="13">
        <v>1.2094907407407408E-2</v>
      </c>
      <c r="D77" s="14" t="s">
        <v>620</v>
      </c>
    </row>
    <row r="78" spans="1:4" x14ac:dyDescent="0.35">
      <c r="A78" s="11">
        <v>0.76</v>
      </c>
      <c r="B78" s="12" t="s">
        <v>171</v>
      </c>
      <c r="C78" s="13">
        <v>1.2291666666666666E-2</v>
      </c>
      <c r="D78" s="14" t="s">
        <v>461</v>
      </c>
    </row>
    <row r="79" spans="1:4" x14ac:dyDescent="0.35">
      <c r="A79" s="11">
        <v>0.77</v>
      </c>
      <c r="B79" s="12" t="s">
        <v>621</v>
      </c>
      <c r="C79" s="13">
        <v>1.2511574074074073E-2</v>
      </c>
      <c r="D79" s="14" t="s">
        <v>362</v>
      </c>
    </row>
    <row r="80" spans="1:4" x14ac:dyDescent="0.35">
      <c r="A80" s="11">
        <v>0.78</v>
      </c>
      <c r="B80" s="12" t="s">
        <v>621</v>
      </c>
      <c r="C80" s="13">
        <v>1.2719907407407407E-2</v>
      </c>
      <c r="D80" s="14" t="s">
        <v>252</v>
      </c>
    </row>
    <row r="81" spans="1:4" x14ac:dyDescent="0.35">
      <c r="A81" s="11">
        <v>0.79</v>
      </c>
      <c r="B81" s="12" t="s">
        <v>171</v>
      </c>
      <c r="C81" s="13">
        <v>1.292824074074074E-2</v>
      </c>
      <c r="D81" s="14" t="s">
        <v>254</v>
      </c>
    </row>
    <row r="82" spans="1:4" x14ac:dyDescent="0.35">
      <c r="A82" s="11">
        <v>0.8</v>
      </c>
      <c r="B82" s="12" t="s">
        <v>621</v>
      </c>
      <c r="C82" s="13">
        <v>1.3136574074074077E-2</v>
      </c>
      <c r="D82" s="14" t="s">
        <v>66</v>
      </c>
    </row>
    <row r="83" spans="1:4" x14ac:dyDescent="0.35">
      <c r="A83" s="11">
        <v>0.81</v>
      </c>
      <c r="B83" s="12" t="s">
        <v>171</v>
      </c>
      <c r="C83" s="13">
        <v>1.3344907407407408E-2</v>
      </c>
      <c r="D83" s="14" t="s">
        <v>622</v>
      </c>
    </row>
    <row r="84" spans="1:4" x14ac:dyDescent="0.35">
      <c r="A84" s="11">
        <v>0.82</v>
      </c>
      <c r="B84" s="12" t="s">
        <v>301</v>
      </c>
      <c r="C84" s="13">
        <v>1.357638888888889E-2</v>
      </c>
      <c r="D84" s="14" t="s">
        <v>530</v>
      </c>
    </row>
    <row r="85" spans="1:4" x14ac:dyDescent="0.35">
      <c r="A85" s="11">
        <v>0.83</v>
      </c>
      <c r="B85" s="12" t="s">
        <v>199</v>
      </c>
      <c r="C85" s="13">
        <v>1.383101851851852E-2</v>
      </c>
      <c r="D85" s="14" t="s">
        <v>623</v>
      </c>
    </row>
    <row r="86" spans="1:4" x14ac:dyDescent="0.35">
      <c r="A86" s="11">
        <v>0.84</v>
      </c>
      <c r="B86" s="12" t="s">
        <v>199</v>
      </c>
      <c r="C86" s="13">
        <v>1.4097222222222221E-2</v>
      </c>
      <c r="D86" s="14" t="s">
        <v>624</v>
      </c>
    </row>
    <row r="87" spans="1:4" x14ac:dyDescent="0.35">
      <c r="A87" s="11">
        <v>0.85</v>
      </c>
      <c r="B87" s="12" t="s">
        <v>199</v>
      </c>
      <c r="C87" s="13">
        <v>1.4374999999999999E-2</v>
      </c>
      <c r="D87" s="14" t="s">
        <v>370</v>
      </c>
    </row>
    <row r="88" spans="1:4" x14ac:dyDescent="0.35">
      <c r="A88" s="11">
        <v>0.86</v>
      </c>
      <c r="B88" s="12" t="s">
        <v>217</v>
      </c>
      <c r="C88" s="13">
        <v>1.4675925925925926E-2</v>
      </c>
      <c r="D88" s="14" t="s">
        <v>625</v>
      </c>
    </row>
    <row r="89" spans="1:4" x14ac:dyDescent="0.35">
      <c r="A89" s="11">
        <v>0.87</v>
      </c>
      <c r="B89" s="12" t="s">
        <v>72</v>
      </c>
      <c r="C89" s="13">
        <v>1.5046296296296295E-2</v>
      </c>
      <c r="D89" s="14" t="s">
        <v>533</v>
      </c>
    </row>
    <row r="90" spans="1:4" x14ac:dyDescent="0.35">
      <c r="A90" s="11">
        <v>0.88</v>
      </c>
      <c r="B90" s="12" t="s">
        <v>74</v>
      </c>
      <c r="C90" s="13">
        <v>1.5474537037037038E-2</v>
      </c>
      <c r="D90" s="14" t="s">
        <v>626</v>
      </c>
    </row>
    <row r="91" spans="1:4" x14ac:dyDescent="0.35">
      <c r="A91" s="11">
        <v>0.89</v>
      </c>
      <c r="B91" s="12" t="s">
        <v>465</v>
      </c>
      <c r="C91" s="13">
        <v>1.59375E-2</v>
      </c>
      <c r="D91" s="14" t="s">
        <v>627</v>
      </c>
    </row>
    <row r="92" spans="1:4" x14ac:dyDescent="0.35">
      <c r="A92" s="11">
        <v>0.9</v>
      </c>
      <c r="B92" s="12" t="s">
        <v>375</v>
      </c>
      <c r="C92" s="13">
        <v>1.6446759259259262E-2</v>
      </c>
      <c r="D92" s="14" t="s">
        <v>628</v>
      </c>
    </row>
    <row r="93" spans="1:4" x14ac:dyDescent="0.35">
      <c r="A93" s="11">
        <v>0.91</v>
      </c>
      <c r="B93" s="12" t="s">
        <v>361</v>
      </c>
      <c r="C93" s="13">
        <v>1.699074074074074E-2</v>
      </c>
      <c r="D93" s="14" t="s">
        <v>629</v>
      </c>
    </row>
    <row r="94" spans="1:4" x14ac:dyDescent="0.35">
      <c r="A94" s="11">
        <v>0.92</v>
      </c>
      <c r="B94" s="12" t="s">
        <v>261</v>
      </c>
      <c r="C94" s="13">
        <v>1.758101851851852E-2</v>
      </c>
      <c r="D94" s="14" t="s">
        <v>535</v>
      </c>
    </row>
    <row r="95" spans="1:4" x14ac:dyDescent="0.35">
      <c r="A95" s="11">
        <v>0.93</v>
      </c>
      <c r="B95" s="12" t="s">
        <v>0</v>
      </c>
      <c r="C95" s="13">
        <v>1.8229166666666668E-2</v>
      </c>
      <c r="D95" s="14" t="s">
        <v>89</v>
      </c>
    </row>
    <row r="96" spans="1:4" x14ac:dyDescent="0.35">
      <c r="A96" s="11">
        <v>0.94</v>
      </c>
      <c r="B96" s="12" t="s">
        <v>469</v>
      </c>
      <c r="C96" s="13">
        <v>1.8935185185185183E-2</v>
      </c>
      <c r="D96" s="14" t="s">
        <v>91</v>
      </c>
    </row>
    <row r="97" spans="1:4" x14ac:dyDescent="0.35">
      <c r="A97" s="11">
        <v>0.95</v>
      </c>
      <c r="B97" s="12" t="s">
        <v>388</v>
      </c>
      <c r="C97" s="13">
        <v>1.9722222222222221E-2</v>
      </c>
      <c r="D97" s="14" t="s">
        <v>268</v>
      </c>
    </row>
    <row r="98" spans="1:4" x14ac:dyDescent="0.35">
      <c r="A98" s="11">
        <v>0.96</v>
      </c>
      <c r="B98" s="12" t="s">
        <v>272</v>
      </c>
      <c r="C98" s="13">
        <v>2.0590277777777777E-2</v>
      </c>
      <c r="D98" s="14" t="s">
        <v>630</v>
      </c>
    </row>
    <row r="99" spans="1:4" x14ac:dyDescent="0.35">
      <c r="A99" s="11">
        <v>0.97</v>
      </c>
      <c r="B99" s="12" t="s">
        <v>390</v>
      </c>
      <c r="C99" s="13">
        <v>2.1585648148148145E-2</v>
      </c>
      <c r="D99" s="14" t="s">
        <v>538</v>
      </c>
    </row>
    <row r="100" spans="1:4" x14ac:dyDescent="0.35">
      <c r="A100" s="11">
        <v>0.98</v>
      </c>
      <c r="B100" s="12" t="s">
        <v>481</v>
      </c>
      <c r="C100" s="13">
        <v>2.2812499999999999E-2</v>
      </c>
      <c r="D100" s="14" t="s">
        <v>631</v>
      </c>
    </row>
    <row r="101" spans="1:4" x14ac:dyDescent="0.35">
      <c r="A101" s="11">
        <v>0.99</v>
      </c>
      <c r="B101" s="12" t="s">
        <v>632</v>
      </c>
      <c r="C101" s="13">
        <v>2.4513888888888887E-2</v>
      </c>
      <c r="D101" s="14" t="s">
        <v>633</v>
      </c>
    </row>
    <row r="102" spans="1:4" ht="15" thickBot="1" x14ac:dyDescent="0.4">
      <c r="A102" s="15">
        <v>1</v>
      </c>
      <c r="B102" s="16" t="s">
        <v>539</v>
      </c>
      <c r="C102" s="17">
        <v>2.6875E-2</v>
      </c>
      <c r="D102" s="18" t="s">
        <v>383</v>
      </c>
    </row>
    <row r="103" spans="1:4" x14ac:dyDescent="0.35">
      <c r="D103" s="2"/>
    </row>
  </sheetData>
  <hyperlinks>
    <hyperlink ref="J6" r:id="rId1" xr:uid="{27A9DC7F-793B-4748-A251-5B3E2EB86F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83FF-902C-4841-85D7-C2F8B1532C27}">
  <dimension ref="A1:J103"/>
  <sheetViews>
    <sheetView topLeftCell="A17" workbookViewId="0">
      <selection activeCell="F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68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127</v>
      </c>
      <c r="C3" s="13">
        <v>3.4722222222222224E-4</v>
      </c>
      <c r="D3" s="14" t="s">
        <v>3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124</v>
      </c>
    </row>
    <row r="4" spans="1:10" ht="15" thickBot="1" x14ac:dyDescent="0.4">
      <c r="A4" s="11">
        <v>0.02</v>
      </c>
      <c r="B4" s="12" t="s">
        <v>128</v>
      </c>
      <c r="C4" s="13">
        <v>6.8287037037037025E-4</v>
      </c>
      <c r="D4" s="14" t="s">
        <v>5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297</v>
      </c>
    </row>
    <row r="5" spans="1:10" ht="15" thickBot="1" x14ac:dyDescent="0.4">
      <c r="A5" s="11">
        <v>0.03</v>
      </c>
      <c r="B5" s="12" t="s">
        <v>128</v>
      </c>
      <c r="C5" s="13">
        <v>1.0069444444444444E-3</v>
      </c>
      <c r="D5" s="14" t="s">
        <v>7</v>
      </c>
      <c r="F5" s="21" t="s">
        <v>98</v>
      </c>
      <c r="G5" s="38">
        <f>Summary!H4</f>
        <v>25</v>
      </c>
      <c r="H5" s="23"/>
      <c r="I5" s="6" t="s">
        <v>108</v>
      </c>
      <c r="J5" s="20" t="s">
        <v>125</v>
      </c>
    </row>
    <row r="6" spans="1:10" ht="15" thickBot="1" x14ac:dyDescent="0.4">
      <c r="A6" s="11">
        <v>0.04</v>
      </c>
      <c r="B6" s="12" t="s">
        <v>128</v>
      </c>
      <c r="C6" s="13">
        <v>1.3310185185185185E-3</v>
      </c>
      <c r="D6" s="14" t="s">
        <v>8</v>
      </c>
      <c r="F6" s="21" t="s">
        <v>97</v>
      </c>
      <c r="G6" s="38">
        <f>Summary!H5</f>
        <v>70</v>
      </c>
      <c r="H6" s="23"/>
      <c r="I6" s="6" t="s">
        <v>106</v>
      </c>
      <c r="J6" s="20" t="s">
        <v>126</v>
      </c>
    </row>
    <row r="7" spans="1:10" x14ac:dyDescent="0.35">
      <c r="A7" s="11">
        <v>0.05</v>
      </c>
      <c r="B7" s="12" t="s">
        <v>128</v>
      </c>
      <c r="C7" s="13">
        <v>1.6666666666666668E-3</v>
      </c>
      <c r="D7" s="14" t="s">
        <v>10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129</v>
      </c>
      <c r="C8" s="13">
        <v>1.8750000000000001E-3</v>
      </c>
      <c r="D8" s="14" t="s">
        <v>130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131</v>
      </c>
      <c r="C9" s="13">
        <v>2.0254629629629629E-3</v>
      </c>
      <c r="D9" s="14" t="s">
        <v>132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297</v>
      </c>
    </row>
    <row r="10" spans="1:10" x14ac:dyDescent="0.35">
      <c r="A10" s="11">
        <v>0.08</v>
      </c>
      <c r="B10" s="12" t="s">
        <v>133</v>
      </c>
      <c r="C10" s="13">
        <v>2.1759259259259258E-3</v>
      </c>
      <c r="D10" s="14" t="s">
        <v>134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3.7594936708860756</v>
      </c>
    </row>
    <row r="11" spans="1:10" x14ac:dyDescent="0.35">
      <c r="A11" s="11">
        <v>0.09</v>
      </c>
      <c r="B11" s="12" t="s">
        <v>135</v>
      </c>
      <c r="C11" s="13">
        <v>2.3148148148148151E-3</v>
      </c>
      <c r="D11" s="14" t="s">
        <v>136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124.70422535211267</v>
      </c>
    </row>
    <row r="12" spans="1:10" x14ac:dyDescent="0.35">
      <c r="A12" s="11">
        <v>0.1</v>
      </c>
      <c r="B12" s="12" t="s">
        <v>37</v>
      </c>
      <c r="C12" s="13">
        <v>2.4652777777777776E-3</v>
      </c>
      <c r="D12" s="14" t="s">
        <v>137</v>
      </c>
      <c r="F12" s="21" t="s">
        <v>772</v>
      </c>
      <c r="G12" s="41">
        <f>Summary!H11</f>
        <v>0.46</v>
      </c>
      <c r="H12" s="49"/>
      <c r="I12" s="28"/>
    </row>
    <row r="13" spans="1:10" x14ac:dyDescent="0.35">
      <c r="A13" s="11">
        <v>0.11</v>
      </c>
      <c r="B13" s="12" t="s">
        <v>30</v>
      </c>
      <c r="C13" s="13">
        <v>2.6041666666666665E-3</v>
      </c>
      <c r="D13" s="14" t="s">
        <v>138</v>
      </c>
      <c r="F13" s="49"/>
      <c r="G13" s="49"/>
      <c r="H13" s="49"/>
      <c r="I13" s="29"/>
    </row>
    <row r="14" spans="1:10" x14ac:dyDescent="0.35">
      <c r="A14" s="11">
        <v>0.12</v>
      </c>
      <c r="B14" s="12" t="s">
        <v>139</v>
      </c>
      <c r="C14" s="13">
        <v>2.7546296296296294E-3</v>
      </c>
      <c r="D14" s="14" t="s">
        <v>140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14</v>
      </c>
      <c r="C15" s="13">
        <v>2.9050925925925928E-3</v>
      </c>
      <c r="D15" s="14" t="s">
        <v>141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0.55805555555555553</v>
      </c>
      <c r="H15" s="57">
        <f>G15/24</f>
        <v>2.3252314814814812E-2</v>
      </c>
    </row>
    <row r="16" spans="1:10" x14ac:dyDescent="0.35">
      <c r="A16" s="11">
        <v>0.14000000000000001</v>
      </c>
      <c r="B16" s="12" t="s">
        <v>142</v>
      </c>
      <c r="C16" s="13">
        <v>3.0671296296296297E-3</v>
      </c>
      <c r="D16" s="14" t="s">
        <v>143</v>
      </c>
      <c r="F16" s="49"/>
      <c r="G16" s="49"/>
      <c r="H16" s="49"/>
    </row>
    <row r="17" spans="1:8" x14ac:dyDescent="0.35">
      <c r="A17" s="11">
        <v>0.15</v>
      </c>
      <c r="B17" s="12" t="s">
        <v>144</v>
      </c>
      <c r="C17" s="13">
        <v>3.2407407407407406E-3</v>
      </c>
      <c r="D17" s="14" t="s">
        <v>145</v>
      </c>
      <c r="F17" s="4" t="s">
        <v>694</v>
      </c>
      <c r="G17" s="27" t="s">
        <v>117</v>
      </c>
      <c r="H17" s="49"/>
    </row>
    <row r="18" spans="1:8" x14ac:dyDescent="0.35">
      <c r="A18" s="11">
        <v>0.16</v>
      </c>
      <c r="B18" s="12" t="s">
        <v>146</v>
      </c>
      <c r="C18" s="13">
        <v>3.425925925925926E-3</v>
      </c>
      <c r="D18" s="14" t="s">
        <v>147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3.3814333814333812</v>
      </c>
      <c r="H18" s="49"/>
    </row>
    <row r="19" spans="1:8" x14ac:dyDescent="0.35">
      <c r="A19" s="11">
        <v>0.17</v>
      </c>
      <c r="B19" s="12" t="s">
        <v>148</v>
      </c>
      <c r="C19" s="13">
        <v>3.5995370370370369E-3</v>
      </c>
      <c r="D19" s="14" t="s">
        <v>149</v>
      </c>
      <c r="F19" s="21" t="str">
        <f>"Number of Charges for "&amp;G5&amp;" Miles Remaing"</f>
        <v>Number of Charges for 25 Miles Remaing</v>
      </c>
      <c r="G19" s="26">
        <f>(G5/((J4*(G10-G9))))</f>
        <v>0.12025012025012025</v>
      </c>
      <c r="H19" s="49"/>
    </row>
    <row r="20" spans="1:8" x14ac:dyDescent="0.35">
      <c r="A20" s="11">
        <v>0.18</v>
      </c>
      <c r="B20" s="12" t="s">
        <v>150</v>
      </c>
      <c r="C20" s="13">
        <v>3.7847222222222223E-3</v>
      </c>
      <c r="D20" s="14" t="s">
        <v>151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4.8100048100048101E-2</v>
      </c>
      <c r="H20" s="49"/>
    </row>
    <row r="21" spans="1:8" x14ac:dyDescent="0.35">
      <c r="A21" s="11">
        <v>0.19</v>
      </c>
      <c r="B21" s="12" t="s">
        <v>152</v>
      </c>
      <c r="C21" s="13">
        <v>3.9814814814814817E-3</v>
      </c>
      <c r="D21" s="14" t="s">
        <v>153</v>
      </c>
      <c r="F21" s="21" t="s">
        <v>770</v>
      </c>
      <c r="G21" s="26">
        <f>SUM(G18:G20)</f>
        <v>3.5497835497835495</v>
      </c>
      <c r="H21" s="49"/>
    </row>
    <row r="22" spans="1:8" x14ac:dyDescent="0.35">
      <c r="A22" s="11">
        <v>0.2</v>
      </c>
      <c r="B22" s="12" t="s">
        <v>154</v>
      </c>
      <c r="C22" s="13">
        <v>4.1666666666666666E-3</v>
      </c>
      <c r="D22" s="14" t="s">
        <v>155</v>
      </c>
      <c r="F22" s="49"/>
      <c r="G22" s="49"/>
      <c r="H22" s="49"/>
    </row>
    <row r="23" spans="1:8" x14ac:dyDescent="0.35">
      <c r="A23" s="11">
        <v>0.21</v>
      </c>
      <c r="B23" s="12" t="s">
        <v>156</v>
      </c>
      <c r="C23" s="13">
        <v>4.363425925925926E-3</v>
      </c>
      <c r="D23" s="14" t="s">
        <v>157</v>
      </c>
      <c r="F23" s="4" t="s">
        <v>773</v>
      </c>
      <c r="G23" s="27" t="s">
        <v>785</v>
      </c>
      <c r="H23" s="27" t="s">
        <v>786</v>
      </c>
    </row>
    <row r="24" spans="1:8" x14ac:dyDescent="0.35">
      <c r="A24" s="11">
        <v>0.22</v>
      </c>
      <c r="B24" s="12" t="s">
        <v>158</v>
      </c>
      <c r="C24" s="13">
        <v>4.5601851851851853E-3</v>
      </c>
      <c r="D24" s="14" t="s">
        <v>159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8" x14ac:dyDescent="0.35">
      <c r="A25" s="11">
        <v>0.23</v>
      </c>
      <c r="B25" s="12" t="s">
        <v>160</v>
      </c>
      <c r="C25" s="13">
        <v>4.7685185185185183E-3</v>
      </c>
      <c r="D25" s="14" t="s">
        <v>161</v>
      </c>
      <c r="E25" s="1"/>
      <c r="F25" s="34" t="s">
        <v>116</v>
      </c>
      <c r="G25" s="37">
        <f>ROUNDUP(G21,0)*((G4/G7))</f>
        <v>0.33333333333333331</v>
      </c>
      <c r="H25" s="57">
        <f>G25/24</f>
        <v>1.3888888888888888E-2</v>
      </c>
    </row>
    <row r="26" spans="1:8" x14ac:dyDescent="0.35">
      <c r="A26" s="11">
        <v>0.24</v>
      </c>
      <c r="B26" s="12" t="s">
        <v>162</v>
      </c>
      <c r="C26" s="13">
        <v>4.9768518518518521E-3</v>
      </c>
      <c r="D26" s="14" t="s">
        <v>163</v>
      </c>
      <c r="F26" s="34" t="s">
        <v>99</v>
      </c>
      <c r="G26" s="37">
        <f>G21*G15</f>
        <v>1.9809764309764306</v>
      </c>
      <c r="H26" s="57">
        <f>G26/24</f>
        <v>8.2540684624017938E-2</v>
      </c>
    </row>
    <row r="27" spans="1:8" x14ac:dyDescent="0.35">
      <c r="A27" s="11">
        <v>0.25</v>
      </c>
      <c r="B27" s="12" t="s">
        <v>164</v>
      </c>
      <c r="C27" s="13">
        <v>5.185185185185185E-3</v>
      </c>
      <c r="D27" s="14" t="s">
        <v>165</v>
      </c>
      <c r="F27" s="35" t="s">
        <v>112</v>
      </c>
      <c r="G27" s="36">
        <f>SUM(G24:G26)</f>
        <v>16.60002405002405</v>
      </c>
      <c r="H27" s="58">
        <f>G27/24</f>
        <v>0.69166766875100205</v>
      </c>
    </row>
    <row r="28" spans="1:8" x14ac:dyDescent="0.35">
      <c r="A28" s="11">
        <v>0.26</v>
      </c>
      <c r="B28" s="12" t="s">
        <v>166</v>
      </c>
      <c r="C28" s="13">
        <v>5.3935185185185188E-3</v>
      </c>
      <c r="D28" s="14" t="s">
        <v>167</v>
      </c>
      <c r="F28" s="49"/>
      <c r="G28" s="49"/>
      <c r="H28" s="49"/>
    </row>
    <row r="29" spans="1:8" x14ac:dyDescent="0.35">
      <c r="A29" s="11">
        <v>0.27</v>
      </c>
      <c r="B29" s="12" t="s">
        <v>59</v>
      </c>
      <c r="C29" s="13">
        <v>5.6134259259259271E-3</v>
      </c>
      <c r="D29" s="14" t="s">
        <v>168</v>
      </c>
      <c r="F29" s="4" t="s">
        <v>781</v>
      </c>
      <c r="G29" s="27" t="s">
        <v>117</v>
      </c>
      <c r="H29" s="49"/>
    </row>
    <row r="30" spans="1:8" x14ac:dyDescent="0.35">
      <c r="A30" s="11">
        <v>0.28000000000000003</v>
      </c>
      <c r="B30" s="12" t="s">
        <v>169</v>
      </c>
      <c r="C30" s="13">
        <v>5.8333333333333336E-3</v>
      </c>
      <c r="D30" s="14" t="s">
        <v>170</v>
      </c>
      <c r="F30" s="5" t="s">
        <v>774</v>
      </c>
      <c r="G30" s="44">
        <f>VALUE(LEFT((VLOOKUP(G8,$A$2:$D$102,4,FALSE)),LEN((VLOOKUP(G8,$A$2:$D$102,4,FALSE)))-4))</f>
        <v>79</v>
      </c>
      <c r="H30" s="49"/>
    </row>
    <row r="31" spans="1:8" x14ac:dyDescent="0.35">
      <c r="A31" s="11">
        <v>0.28999999999999998</v>
      </c>
      <c r="B31" s="12" t="s">
        <v>171</v>
      </c>
      <c r="C31" s="13">
        <v>6.053240740740741E-3</v>
      </c>
      <c r="D31" s="14" t="s">
        <v>172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55.300000000000004</v>
      </c>
      <c r="H31" s="49"/>
    </row>
    <row r="32" spans="1:8" x14ac:dyDescent="0.35">
      <c r="A32" s="11">
        <v>0.3</v>
      </c>
      <c r="B32" s="12" t="s">
        <v>173</v>
      </c>
      <c r="C32" s="13">
        <v>6.2847222222222228E-3</v>
      </c>
      <c r="D32" s="14" t="s">
        <v>174</v>
      </c>
      <c r="F32" s="5" t="s">
        <v>775</v>
      </c>
      <c r="G32" s="44">
        <f>(G21-G19)*G31</f>
        <v>189.65319865319867</v>
      </c>
      <c r="H32" s="2"/>
    </row>
    <row r="33" spans="1:8" x14ac:dyDescent="0.35">
      <c r="A33" s="11">
        <v>0.31</v>
      </c>
      <c r="B33" s="12" t="s">
        <v>175</v>
      </c>
      <c r="C33" s="13">
        <v>6.5162037037037037E-3</v>
      </c>
      <c r="D33" s="14" t="s">
        <v>176</v>
      </c>
      <c r="F33" s="30" t="s">
        <v>776</v>
      </c>
      <c r="G33" s="45">
        <f>G30*G11</f>
        <v>13.3826</v>
      </c>
      <c r="H33" s="49"/>
    </row>
    <row r="34" spans="1:8" x14ac:dyDescent="0.35">
      <c r="A34" s="11">
        <v>0.32</v>
      </c>
      <c r="B34" s="12" t="s">
        <v>177</v>
      </c>
      <c r="C34" s="13">
        <v>6.7476851851851856E-3</v>
      </c>
      <c r="D34" s="14" t="s">
        <v>178</v>
      </c>
      <c r="F34" s="30" t="s">
        <v>777</v>
      </c>
      <c r="G34" s="45">
        <f>G32*G12</f>
        <v>87.240471380471391</v>
      </c>
      <c r="H34" s="29"/>
    </row>
    <row r="35" spans="1:8" x14ac:dyDescent="0.35">
      <c r="A35" s="11">
        <v>0.33</v>
      </c>
      <c r="B35" s="12" t="s">
        <v>179</v>
      </c>
      <c r="C35" s="13">
        <v>6.9907407407407409E-3</v>
      </c>
      <c r="D35" s="14" t="s">
        <v>180</v>
      </c>
      <c r="F35" s="30" t="s">
        <v>778</v>
      </c>
      <c r="G35" s="67">
        <f>SUM(G33:G34)</f>
        <v>100.62307138047139</v>
      </c>
      <c r="H35" s="49"/>
    </row>
    <row r="36" spans="1:8" x14ac:dyDescent="0.35">
      <c r="A36" s="11">
        <v>0.34</v>
      </c>
      <c r="B36" s="12" t="s">
        <v>181</v>
      </c>
      <c r="C36" s="13">
        <v>7.2337962962962963E-3</v>
      </c>
      <c r="D36" s="14" t="s">
        <v>182</v>
      </c>
      <c r="F36" s="49"/>
      <c r="G36" s="49"/>
      <c r="H36" s="49"/>
    </row>
    <row r="37" spans="1:8" x14ac:dyDescent="0.35">
      <c r="A37" s="11">
        <v>0.35</v>
      </c>
      <c r="B37" s="12" t="s">
        <v>183</v>
      </c>
      <c r="C37" s="13">
        <v>7.4884259259259262E-3</v>
      </c>
      <c r="D37" s="14" t="s">
        <v>184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185</v>
      </c>
      <c r="C38" s="13">
        <v>7.743055555555556E-3</v>
      </c>
      <c r="D38" s="14" t="s">
        <v>186</v>
      </c>
      <c r="F38" s="30" t="str">
        <f>"Fuel Efficiency @"&amp;$G$6&amp; "mph (Miles/kWh)"</f>
        <v>Fuel Efficiency @70mph (Miles/kWh)</v>
      </c>
      <c r="G38" s="66">
        <f>($J$4*($G$10-$G$9))/$G$31</f>
        <v>3.7594936708860756</v>
      </c>
      <c r="H38" s="49"/>
    </row>
    <row r="39" spans="1:8" x14ac:dyDescent="0.35">
      <c r="A39" s="11">
        <v>0.37</v>
      </c>
      <c r="B39" s="12" t="s">
        <v>187</v>
      </c>
      <c r="C39" s="13">
        <v>8.0092592592592594E-3</v>
      </c>
      <c r="D39" s="14" t="s">
        <v>188</v>
      </c>
      <c r="F39" s="30" t="str">
        <f>"Fuel Efficiency @"&amp;$G$6&amp; "mph (kWh/100 mi)"</f>
        <v>Fuel Efficiency @70mph (kWh/100 mi)</v>
      </c>
      <c r="G39" s="66">
        <f>(1/G38)*100</f>
        <v>26.599326599326602</v>
      </c>
      <c r="H39" s="49"/>
    </row>
    <row r="40" spans="1:8" x14ac:dyDescent="0.35">
      <c r="A40" s="11">
        <v>0.38</v>
      </c>
      <c r="B40" s="12" t="s">
        <v>189</v>
      </c>
      <c r="C40" s="13">
        <v>8.2754629629629619E-3</v>
      </c>
      <c r="D40" s="14" t="s">
        <v>190</v>
      </c>
      <c r="F40" s="23"/>
      <c r="G40" s="23"/>
      <c r="H40" s="49"/>
    </row>
    <row r="41" spans="1:8" x14ac:dyDescent="0.35">
      <c r="A41" s="11">
        <v>0.39</v>
      </c>
      <c r="B41" s="12" t="s">
        <v>191</v>
      </c>
      <c r="C41" s="13">
        <v>8.5416666666666679E-3</v>
      </c>
      <c r="D41" s="14" t="s">
        <v>192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193</v>
      </c>
      <c r="C42" s="13">
        <v>8.819444444444444E-3</v>
      </c>
      <c r="D42" s="14" t="s">
        <v>194</v>
      </c>
      <c r="F42" s="30" t="s">
        <v>790</v>
      </c>
      <c r="G42" s="66" cm="1">
        <f t="array" ref="G42">AVERAGE(VALUE(LEFT(B12:B82, LEN(B12:B82) - 3)))</f>
        <v>124.70422535211267</v>
      </c>
      <c r="H42" s="49"/>
    </row>
    <row r="43" spans="1:8" x14ac:dyDescent="0.35">
      <c r="A43" s="11">
        <v>0.41</v>
      </c>
      <c r="B43" s="12" t="s">
        <v>195</v>
      </c>
      <c r="C43" s="13">
        <v>9.0972222222222218E-3</v>
      </c>
      <c r="D43" s="14" t="s">
        <v>196</v>
      </c>
      <c r="F43" s="49"/>
      <c r="G43" s="49"/>
      <c r="H43" s="49"/>
    </row>
    <row r="44" spans="1:8" x14ac:dyDescent="0.35">
      <c r="A44" s="11">
        <v>0.42</v>
      </c>
      <c r="B44" s="12" t="s">
        <v>197</v>
      </c>
      <c r="C44" s="13">
        <v>9.3749999999999997E-3</v>
      </c>
      <c r="D44" s="14" t="s">
        <v>198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199</v>
      </c>
      <c r="C45" s="13">
        <v>9.6643518518518511E-3</v>
      </c>
      <c r="D45" s="14" t="s">
        <v>200</v>
      </c>
      <c r="F45" s="21" t="s">
        <v>118</v>
      </c>
      <c r="G45" s="31">
        <f>ROUNDUP(G21,0)*G4</f>
        <v>10</v>
      </c>
      <c r="H45" s="49"/>
    </row>
    <row r="46" spans="1:8" x14ac:dyDescent="0.35">
      <c r="A46" s="11">
        <v>0.44</v>
      </c>
      <c r="B46" s="12" t="s">
        <v>61</v>
      </c>
      <c r="C46" s="13">
        <v>9.9652777777777778E-3</v>
      </c>
      <c r="D46" s="14" t="s">
        <v>201</v>
      </c>
      <c r="F46" s="30" t="s">
        <v>119</v>
      </c>
      <c r="G46" s="32">
        <f>G3+G45</f>
        <v>1010</v>
      </c>
      <c r="H46" s="49"/>
    </row>
    <row r="47" spans="1:8" x14ac:dyDescent="0.35">
      <c r="A47" s="11">
        <v>0.45</v>
      </c>
      <c r="B47" s="12" t="s">
        <v>64</v>
      </c>
      <c r="C47" s="13">
        <v>1.0266203703703703E-2</v>
      </c>
      <c r="D47" s="14" t="s">
        <v>202</v>
      </c>
      <c r="F47" s="21" t="s">
        <v>121</v>
      </c>
      <c r="G47" s="31">
        <f>(J4*G8)</f>
        <v>297</v>
      </c>
      <c r="H47" s="49"/>
    </row>
    <row r="48" spans="1:8" x14ac:dyDescent="0.35">
      <c r="A48" s="11">
        <v>0.46</v>
      </c>
      <c r="B48" s="12" t="s">
        <v>203</v>
      </c>
      <c r="C48" s="13">
        <v>1.0567129629629629E-2</v>
      </c>
      <c r="D48" s="14" t="s">
        <v>204</v>
      </c>
      <c r="F48" s="5" t="s">
        <v>120</v>
      </c>
      <c r="G48" s="32">
        <f>G46-G47</f>
        <v>713</v>
      </c>
      <c r="H48" s="49"/>
    </row>
    <row r="49" spans="1:8" x14ac:dyDescent="0.35">
      <c r="A49" s="11">
        <v>0.47</v>
      </c>
      <c r="B49" s="12" t="s">
        <v>205</v>
      </c>
      <c r="C49" s="13">
        <v>1.087962962962963E-2</v>
      </c>
      <c r="D49" s="14" t="s">
        <v>206</v>
      </c>
      <c r="F49" s="21" t="s">
        <v>123</v>
      </c>
      <c r="G49" s="31">
        <f>G21*(J4*(G10-G9))</f>
        <v>738</v>
      </c>
      <c r="H49" s="49"/>
    </row>
    <row r="50" spans="1:8" x14ac:dyDescent="0.35">
      <c r="A50" s="11">
        <v>0.48</v>
      </c>
      <c r="B50" s="12" t="s">
        <v>207</v>
      </c>
      <c r="C50" s="13">
        <v>1.1203703703703704E-2</v>
      </c>
      <c r="D50" s="14" t="s">
        <v>208</v>
      </c>
      <c r="F50" s="30" t="s">
        <v>122</v>
      </c>
      <c r="G50" s="32">
        <f>ABS(G48-G49)</f>
        <v>25</v>
      </c>
      <c r="H50" s="49"/>
    </row>
    <row r="51" spans="1:8" x14ac:dyDescent="0.35">
      <c r="A51" s="11">
        <v>0.49</v>
      </c>
      <c r="B51" s="12" t="s">
        <v>128</v>
      </c>
      <c r="C51" s="13">
        <v>1.1527777777777777E-2</v>
      </c>
      <c r="D51" s="14" t="s">
        <v>209</v>
      </c>
    </row>
    <row r="52" spans="1:8" x14ac:dyDescent="0.35">
      <c r="A52" s="11">
        <v>0.5</v>
      </c>
      <c r="B52" s="12" t="s">
        <v>210</v>
      </c>
      <c r="C52" s="13">
        <v>1.1863425925925925E-2</v>
      </c>
      <c r="D52" s="14" t="s">
        <v>211</v>
      </c>
    </row>
    <row r="53" spans="1:8" x14ac:dyDescent="0.35">
      <c r="A53" s="11">
        <v>0.51</v>
      </c>
      <c r="B53" s="12" t="s">
        <v>127</v>
      </c>
      <c r="C53" s="13">
        <v>1.2199074074074072E-2</v>
      </c>
      <c r="D53" s="14" t="s">
        <v>212</v>
      </c>
    </row>
    <row r="54" spans="1:8" x14ac:dyDescent="0.35">
      <c r="A54" s="11">
        <v>0.52</v>
      </c>
      <c r="B54" s="12" t="s">
        <v>213</v>
      </c>
      <c r="C54" s="13">
        <v>1.2546296296296297E-2</v>
      </c>
      <c r="D54" s="14" t="s">
        <v>214</v>
      </c>
    </row>
    <row r="55" spans="1:8" x14ac:dyDescent="0.35">
      <c r="A55" s="11">
        <v>0.53</v>
      </c>
      <c r="B55" s="12" t="s">
        <v>215</v>
      </c>
      <c r="C55" s="13">
        <v>1.2905092592592591E-2</v>
      </c>
      <c r="D55" s="14" t="s">
        <v>216</v>
      </c>
    </row>
    <row r="56" spans="1:8" x14ac:dyDescent="0.35">
      <c r="A56" s="11">
        <v>0.54</v>
      </c>
      <c r="B56" s="12" t="s">
        <v>217</v>
      </c>
      <c r="C56" s="13">
        <v>1.3263888888888889E-2</v>
      </c>
      <c r="D56" s="14" t="s">
        <v>218</v>
      </c>
    </row>
    <row r="57" spans="1:8" x14ac:dyDescent="0.35">
      <c r="A57" s="11">
        <v>0.55000000000000004</v>
      </c>
      <c r="B57" s="12" t="s">
        <v>219</v>
      </c>
      <c r="C57" s="13">
        <v>1.3634259259259257E-2</v>
      </c>
      <c r="D57" s="14" t="s">
        <v>220</v>
      </c>
    </row>
    <row r="58" spans="1:8" x14ac:dyDescent="0.35">
      <c r="A58" s="11">
        <v>0.56000000000000005</v>
      </c>
      <c r="B58" s="12" t="s">
        <v>221</v>
      </c>
      <c r="C58" s="13">
        <v>1.4016203703703704E-2</v>
      </c>
      <c r="D58" s="14" t="s">
        <v>222</v>
      </c>
    </row>
    <row r="59" spans="1:8" x14ac:dyDescent="0.35">
      <c r="A59" s="11">
        <v>0.56999999999999995</v>
      </c>
      <c r="B59" s="12" t="s">
        <v>70</v>
      </c>
      <c r="C59" s="13">
        <v>1.4398148148148148E-2</v>
      </c>
      <c r="D59" s="14" t="s">
        <v>223</v>
      </c>
    </row>
    <row r="60" spans="1:8" x14ac:dyDescent="0.35">
      <c r="A60" s="11">
        <v>0.57999999999999996</v>
      </c>
      <c r="B60" s="12" t="s">
        <v>224</v>
      </c>
      <c r="C60" s="13">
        <v>1.4791666666666668E-2</v>
      </c>
      <c r="D60" s="14" t="s">
        <v>225</v>
      </c>
    </row>
    <row r="61" spans="1:8" x14ac:dyDescent="0.35">
      <c r="A61" s="11">
        <v>0.59</v>
      </c>
      <c r="B61" s="12" t="s">
        <v>226</v>
      </c>
      <c r="C61" s="13">
        <v>1.5196759259259259E-2</v>
      </c>
      <c r="D61" s="14" t="s">
        <v>227</v>
      </c>
    </row>
    <row r="62" spans="1:8" x14ac:dyDescent="0.35">
      <c r="A62" s="11">
        <v>0.6</v>
      </c>
      <c r="B62" s="12" t="s">
        <v>228</v>
      </c>
      <c r="C62" s="13">
        <v>1.5613425925925926E-2</v>
      </c>
      <c r="D62" s="14" t="s">
        <v>229</v>
      </c>
    </row>
    <row r="63" spans="1:8" x14ac:dyDescent="0.35">
      <c r="A63" s="11">
        <v>0.61</v>
      </c>
      <c r="B63" s="12" t="s">
        <v>230</v>
      </c>
      <c r="C63" s="13">
        <v>1.6041666666666666E-2</v>
      </c>
      <c r="D63" s="14" t="s">
        <v>231</v>
      </c>
    </row>
    <row r="64" spans="1:8" x14ac:dyDescent="0.35">
      <c r="A64" s="11">
        <v>0.62</v>
      </c>
      <c r="B64" s="12" t="s">
        <v>232</v>
      </c>
      <c r="C64" s="13">
        <v>1.6481481481481482E-2</v>
      </c>
      <c r="D64" s="14" t="s">
        <v>233</v>
      </c>
    </row>
    <row r="65" spans="1:4" x14ac:dyDescent="0.35">
      <c r="A65" s="11">
        <v>0.63</v>
      </c>
      <c r="B65" s="12" t="s">
        <v>232</v>
      </c>
      <c r="C65" s="13">
        <v>1.6932870370370369E-2</v>
      </c>
      <c r="D65" s="14" t="s">
        <v>234</v>
      </c>
    </row>
    <row r="66" spans="1:4" x14ac:dyDescent="0.35">
      <c r="A66" s="11">
        <v>0.64</v>
      </c>
      <c r="B66" s="12" t="s">
        <v>235</v>
      </c>
      <c r="C66" s="13">
        <v>1.7384259259259262E-2</v>
      </c>
      <c r="D66" s="14" t="s">
        <v>236</v>
      </c>
    </row>
    <row r="67" spans="1:4" x14ac:dyDescent="0.35">
      <c r="A67" s="11">
        <v>0.65</v>
      </c>
      <c r="B67" s="12" t="s">
        <v>237</v>
      </c>
      <c r="C67" s="13">
        <v>1.7847222222222223E-2</v>
      </c>
      <c r="D67" s="14" t="s">
        <v>238</v>
      </c>
    </row>
    <row r="68" spans="1:4" x14ac:dyDescent="0.35">
      <c r="A68" s="11">
        <v>0.66</v>
      </c>
      <c r="B68" s="12" t="s">
        <v>239</v>
      </c>
      <c r="C68" s="13">
        <v>1.832175925925926E-2</v>
      </c>
      <c r="D68" s="14" t="s">
        <v>240</v>
      </c>
    </row>
    <row r="69" spans="1:4" x14ac:dyDescent="0.35">
      <c r="A69" s="11">
        <v>0.67</v>
      </c>
      <c r="B69" s="12" t="s">
        <v>241</v>
      </c>
      <c r="C69" s="13">
        <v>1.8796296296296297E-2</v>
      </c>
      <c r="D69" s="14" t="s">
        <v>242</v>
      </c>
    </row>
    <row r="70" spans="1:4" x14ac:dyDescent="0.35">
      <c r="A70" s="11">
        <v>0.68</v>
      </c>
      <c r="B70" s="12" t="s">
        <v>74</v>
      </c>
      <c r="C70" s="13">
        <v>1.9282407407407408E-2</v>
      </c>
      <c r="D70" s="14" t="s">
        <v>243</v>
      </c>
    </row>
    <row r="71" spans="1:4" x14ac:dyDescent="0.35">
      <c r="A71" s="11">
        <v>0.69</v>
      </c>
      <c r="B71" s="12" t="s">
        <v>244</v>
      </c>
      <c r="C71" s="13">
        <v>1.9768518518518515E-2</v>
      </c>
      <c r="D71" s="14" t="s">
        <v>245</v>
      </c>
    </row>
    <row r="72" spans="1:4" x14ac:dyDescent="0.35">
      <c r="A72" s="11">
        <v>0.7</v>
      </c>
      <c r="B72" s="12" t="s">
        <v>246</v>
      </c>
      <c r="C72" s="13">
        <v>2.0254629629629629E-2</v>
      </c>
      <c r="D72" s="14" t="s">
        <v>247</v>
      </c>
    </row>
    <row r="73" spans="1:4" x14ac:dyDescent="0.35">
      <c r="A73" s="11">
        <v>0.71</v>
      </c>
      <c r="B73" s="12" t="s">
        <v>248</v>
      </c>
      <c r="C73" s="13">
        <v>2.0763888888888887E-2</v>
      </c>
      <c r="D73" s="14" t="s">
        <v>249</v>
      </c>
    </row>
    <row r="74" spans="1:4" x14ac:dyDescent="0.35">
      <c r="A74" s="11">
        <v>0.72</v>
      </c>
      <c r="B74" s="12" t="s">
        <v>250</v>
      </c>
      <c r="C74" s="13">
        <v>2.1273148148148149E-2</v>
      </c>
      <c r="D74" s="14" t="s">
        <v>251</v>
      </c>
    </row>
    <row r="75" spans="1:4" x14ac:dyDescent="0.35">
      <c r="A75" s="11">
        <v>0.73</v>
      </c>
      <c r="B75" s="12" t="s">
        <v>76</v>
      </c>
      <c r="C75" s="13">
        <v>2.179398148148148E-2</v>
      </c>
      <c r="D75" s="14" t="s">
        <v>252</v>
      </c>
    </row>
    <row r="76" spans="1:4" x14ac:dyDescent="0.35">
      <c r="A76" s="11">
        <v>0.74</v>
      </c>
      <c r="B76" s="12" t="s">
        <v>253</v>
      </c>
      <c r="C76" s="13">
        <v>2.2326388888888885E-2</v>
      </c>
      <c r="D76" s="14" t="s">
        <v>254</v>
      </c>
    </row>
    <row r="77" spans="1:4" x14ac:dyDescent="0.35">
      <c r="A77" s="11">
        <v>0.75</v>
      </c>
      <c r="B77" s="12" t="s">
        <v>255</v>
      </c>
      <c r="C77" s="13">
        <v>2.2870370370370371E-2</v>
      </c>
      <c r="D77" s="14" t="s">
        <v>66</v>
      </c>
    </row>
    <row r="78" spans="1:4" x14ac:dyDescent="0.35">
      <c r="A78" s="11">
        <v>0.76</v>
      </c>
      <c r="B78" s="12" t="s">
        <v>256</v>
      </c>
      <c r="C78" s="13">
        <v>2.3414351851851853E-2</v>
      </c>
      <c r="D78" s="14" t="s">
        <v>67</v>
      </c>
    </row>
    <row r="79" spans="1:4" x14ac:dyDescent="0.35">
      <c r="A79" s="11">
        <v>0.77</v>
      </c>
      <c r="B79" s="12" t="s">
        <v>257</v>
      </c>
      <c r="C79" s="13">
        <v>2.3969907407407409E-2</v>
      </c>
      <c r="D79" s="14" t="s">
        <v>69</v>
      </c>
    </row>
    <row r="80" spans="1:4" x14ac:dyDescent="0.35">
      <c r="A80" s="11">
        <v>0.78</v>
      </c>
      <c r="B80" s="12" t="s">
        <v>258</v>
      </c>
      <c r="C80" s="13">
        <v>2.4548611111111115E-2</v>
      </c>
      <c r="D80" s="14" t="s">
        <v>71</v>
      </c>
    </row>
    <row r="81" spans="1:4" x14ac:dyDescent="0.35">
      <c r="A81" s="11">
        <v>0.79</v>
      </c>
      <c r="B81" s="12" t="s">
        <v>258</v>
      </c>
      <c r="C81" s="13">
        <v>2.5127314814814811E-2</v>
      </c>
      <c r="D81" s="14" t="s">
        <v>73</v>
      </c>
    </row>
    <row r="82" spans="1:4" x14ac:dyDescent="0.35">
      <c r="A82" s="11">
        <v>0.8</v>
      </c>
      <c r="B82" s="12" t="s">
        <v>78</v>
      </c>
      <c r="C82" s="13">
        <v>2.5717592592592594E-2</v>
      </c>
      <c r="D82" s="14" t="s">
        <v>75</v>
      </c>
    </row>
    <row r="83" spans="1:4" x14ac:dyDescent="0.35">
      <c r="A83" s="11">
        <v>0.81</v>
      </c>
      <c r="B83" s="12" t="s">
        <v>259</v>
      </c>
      <c r="C83" s="13">
        <v>2.631944444444444E-2</v>
      </c>
      <c r="D83" s="14" t="s">
        <v>77</v>
      </c>
    </row>
    <row r="84" spans="1:4" x14ac:dyDescent="0.35">
      <c r="A84" s="11">
        <v>0.82</v>
      </c>
      <c r="B84" s="12" t="s">
        <v>260</v>
      </c>
      <c r="C84" s="13">
        <v>2.6932870370370371E-2</v>
      </c>
      <c r="D84" s="14" t="s">
        <v>79</v>
      </c>
    </row>
    <row r="85" spans="1:4" x14ac:dyDescent="0.35">
      <c r="A85" s="11">
        <v>0.83</v>
      </c>
      <c r="B85" s="12" t="s">
        <v>261</v>
      </c>
      <c r="C85" s="13">
        <v>2.7581018518518519E-2</v>
      </c>
      <c r="D85" s="14" t="s">
        <v>81</v>
      </c>
    </row>
    <row r="86" spans="1:4" x14ac:dyDescent="0.35">
      <c r="A86" s="11">
        <v>0.84</v>
      </c>
      <c r="B86" s="12" t="s">
        <v>0</v>
      </c>
      <c r="C86" s="13">
        <v>2.8275462962962964E-2</v>
      </c>
      <c r="D86" s="14" t="s">
        <v>83</v>
      </c>
    </row>
    <row r="87" spans="1:4" x14ac:dyDescent="0.35">
      <c r="A87" s="11">
        <v>0.85</v>
      </c>
      <c r="B87" s="12" t="s">
        <v>82</v>
      </c>
      <c r="C87" s="13">
        <v>2.8993055555555553E-2</v>
      </c>
      <c r="D87" s="14" t="s">
        <v>85</v>
      </c>
    </row>
    <row r="88" spans="1:4" x14ac:dyDescent="0.35">
      <c r="A88" s="11">
        <v>0.86</v>
      </c>
      <c r="B88" s="12" t="s">
        <v>262</v>
      </c>
      <c r="C88" s="13">
        <v>2.9756944444444447E-2</v>
      </c>
      <c r="D88" s="14" t="s">
        <v>263</v>
      </c>
    </row>
    <row r="89" spans="1:4" x14ac:dyDescent="0.35">
      <c r="A89" s="11">
        <v>0.87</v>
      </c>
      <c r="B89" s="12" t="s">
        <v>84</v>
      </c>
      <c r="C89" s="13">
        <v>3.0567129629629628E-2</v>
      </c>
      <c r="D89" s="14" t="s">
        <v>264</v>
      </c>
    </row>
    <row r="90" spans="1:4" x14ac:dyDescent="0.35">
      <c r="A90" s="11">
        <v>0.88</v>
      </c>
      <c r="B90" s="12" t="s">
        <v>265</v>
      </c>
      <c r="C90" s="13">
        <v>3.138888888888889E-2</v>
      </c>
      <c r="D90" s="14" t="s">
        <v>266</v>
      </c>
    </row>
    <row r="91" spans="1:4" x14ac:dyDescent="0.35">
      <c r="A91" s="11">
        <v>0.89</v>
      </c>
      <c r="B91" s="12" t="s">
        <v>267</v>
      </c>
      <c r="C91" s="13">
        <v>3.2245370370370369E-2</v>
      </c>
      <c r="D91" s="14" t="s">
        <v>268</v>
      </c>
    </row>
    <row r="92" spans="1:4" x14ac:dyDescent="0.35">
      <c r="A92" s="11">
        <v>0.9</v>
      </c>
      <c r="B92" s="12" t="s">
        <v>86</v>
      </c>
      <c r="C92" s="13">
        <v>3.3136574074074075E-2</v>
      </c>
      <c r="D92" s="14" t="s">
        <v>269</v>
      </c>
    </row>
    <row r="93" spans="1:4" x14ac:dyDescent="0.35">
      <c r="A93" s="11">
        <v>0.91</v>
      </c>
      <c r="B93" s="12" t="s">
        <v>270</v>
      </c>
      <c r="C93" s="13">
        <v>3.4050925925925922E-2</v>
      </c>
      <c r="D93" s="14" t="s">
        <v>271</v>
      </c>
    </row>
    <row r="94" spans="1:4" x14ac:dyDescent="0.35">
      <c r="A94" s="11">
        <v>0.92</v>
      </c>
      <c r="B94" s="12" t="s">
        <v>272</v>
      </c>
      <c r="C94" s="13">
        <v>3.5011574074074077E-2</v>
      </c>
      <c r="D94" s="14" t="s">
        <v>273</v>
      </c>
    </row>
    <row r="95" spans="1:4" x14ac:dyDescent="0.35">
      <c r="A95" s="11">
        <v>0.93</v>
      </c>
      <c r="B95" s="12" t="s">
        <v>274</v>
      </c>
      <c r="C95" s="13">
        <v>3.6006944444444446E-2</v>
      </c>
      <c r="D95" s="14" t="s">
        <v>275</v>
      </c>
    </row>
    <row r="96" spans="1:4" x14ac:dyDescent="0.35">
      <c r="A96" s="11">
        <v>0.94</v>
      </c>
      <c r="B96" s="12" t="s">
        <v>90</v>
      </c>
      <c r="C96" s="13">
        <v>3.7060185185185189E-2</v>
      </c>
      <c r="D96" s="14" t="s">
        <v>276</v>
      </c>
    </row>
    <row r="97" spans="1:4" x14ac:dyDescent="0.35">
      <c r="A97" s="11">
        <v>0.95</v>
      </c>
      <c r="B97" s="12" t="s">
        <v>92</v>
      </c>
      <c r="C97" s="13">
        <v>3.8206018518518521E-2</v>
      </c>
      <c r="D97" s="14" t="s">
        <v>277</v>
      </c>
    </row>
    <row r="98" spans="1:4" x14ac:dyDescent="0.35">
      <c r="A98" s="11">
        <v>0.96</v>
      </c>
      <c r="B98" s="12" t="s">
        <v>278</v>
      </c>
      <c r="C98" s="13">
        <v>3.9444444444444442E-2</v>
      </c>
      <c r="D98" s="14" t="s">
        <v>279</v>
      </c>
    </row>
    <row r="99" spans="1:4" x14ac:dyDescent="0.35">
      <c r="A99" s="11">
        <v>0.97</v>
      </c>
      <c r="B99" s="12" t="s">
        <v>280</v>
      </c>
      <c r="C99" s="13">
        <v>4.0810185185185185E-2</v>
      </c>
      <c r="D99" s="14" t="s">
        <v>281</v>
      </c>
    </row>
    <row r="100" spans="1:4" x14ac:dyDescent="0.35">
      <c r="A100" s="11">
        <v>0.98</v>
      </c>
      <c r="B100" s="12" t="s">
        <v>282</v>
      </c>
      <c r="C100" s="13">
        <v>4.2314814814814812E-2</v>
      </c>
      <c r="D100" s="14" t="s">
        <v>283</v>
      </c>
    </row>
    <row r="101" spans="1:4" x14ac:dyDescent="0.35">
      <c r="A101" s="11">
        <v>0.99</v>
      </c>
      <c r="B101" s="12" t="s">
        <v>284</v>
      </c>
      <c r="C101" s="13">
        <v>4.4085648148148145E-2</v>
      </c>
      <c r="D101" s="14" t="s">
        <v>285</v>
      </c>
    </row>
    <row r="102" spans="1:4" ht="15" thickBot="1" x14ac:dyDescent="0.4">
      <c r="A102" s="15">
        <v>1</v>
      </c>
      <c r="B102" s="16" t="s">
        <v>286</v>
      </c>
      <c r="C102" s="17">
        <v>4.6365740740740742E-2</v>
      </c>
      <c r="D102" s="18" t="s">
        <v>287</v>
      </c>
    </row>
    <row r="103" spans="1:4" x14ac:dyDescent="0.35">
      <c r="D10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A462-58C8-4067-A84F-3F48EB9BB3BE}">
  <dimension ref="A1:J103"/>
  <sheetViews>
    <sheetView topLeftCell="A14" workbookViewId="0">
      <selection activeCell="F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0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78</v>
      </c>
      <c r="C3" s="13">
        <v>6.8287037037037025E-4</v>
      </c>
      <c r="D3" s="14" t="s">
        <v>3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288</v>
      </c>
    </row>
    <row r="4" spans="1:10" ht="15" thickBot="1" x14ac:dyDescent="0.4">
      <c r="A4" s="11">
        <v>0.02</v>
      </c>
      <c r="B4" s="12" t="s">
        <v>248</v>
      </c>
      <c r="C4" s="13">
        <v>1.2731481481481483E-3</v>
      </c>
      <c r="D4" s="14" t="s">
        <v>291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252</v>
      </c>
    </row>
    <row r="5" spans="1:10" ht="15" thickBot="1" x14ac:dyDescent="0.4">
      <c r="A5" s="11">
        <v>0.03</v>
      </c>
      <c r="B5" s="12" t="s">
        <v>292</v>
      </c>
      <c r="C5" s="13">
        <v>1.7824074074074072E-3</v>
      </c>
      <c r="D5" s="14" t="s">
        <v>293</v>
      </c>
      <c r="F5" s="21" t="s">
        <v>98</v>
      </c>
      <c r="G5" s="38">
        <f>Summary!H4</f>
        <v>25</v>
      </c>
      <c r="H5" s="23"/>
      <c r="I5" s="6" t="s">
        <v>108</v>
      </c>
      <c r="J5" s="20" t="s">
        <v>289</v>
      </c>
    </row>
    <row r="6" spans="1:10" ht="15" thickBot="1" x14ac:dyDescent="0.4">
      <c r="A6" s="11">
        <v>0.04</v>
      </c>
      <c r="B6" s="12" t="s">
        <v>294</v>
      </c>
      <c r="C6" s="13">
        <v>2.2337962962962967E-3</v>
      </c>
      <c r="D6" s="14" t="s">
        <v>295</v>
      </c>
      <c r="F6" s="21" t="s">
        <v>97</v>
      </c>
      <c r="G6" s="38">
        <f>Summary!H5</f>
        <v>70</v>
      </c>
      <c r="H6" s="23"/>
      <c r="I6" s="6" t="s">
        <v>106</v>
      </c>
      <c r="J6" s="20" t="s">
        <v>290</v>
      </c>
    </row>
    <row r="7" spans="1:10" x14ac:dyDescent="0.35">
      <c r="A7" s="11">
        <v>0.05</v>
      </c>
      <c r="B7" s="12" t="s">
        <v>68</v>
      </c>
      <c r="C7" s="13">
        <v>2.627314814814815E-3</v>
      </c>
      <c r="D7" s="14" t="s">
        <v>296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207</v>
      </c>
      <c r="C8" s="13">
        <v>2.9861111111111113E-3</v>
      </c>
      <c r="D8" s="14" t="s">
        <v>297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298</v>
      </c>
      <c r="C9" s="13">
        <v>3.3217592592592591E-3</v>
      </c>
      <c r="D9" s="14" t="s">
        <v>299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252</v>
      </c>
    </row>
    <row r="10" spans="1:10" x14ac:dyDescent="0.35">
      <c r="A10" s="11">
        <v>0.08</v>
      </c>
      <c r="B10" s="12" t="s">
        <v>191</v>
      </c>
      <c r="C10" s="13">
        <v>3.6226851851851854E-3</v>
      </c>
      <c r="D10" s="14" t="s">
        <v>300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2.9647058823529413</v>
      </c>
    </row>
    <row r="11" spans="1:10" x14ac:dyDescent="0.35">
      <c r="A11" s="11">
        <v>0.09</v>
      </c>
      <c r="B11" s="12" t="s">
        <v>301</v>
      </c>
      <c r="C11" s="13">
        <v>3.9120370370370368E-3</v>
      </c>
      <c r="D11" s="14" t="s">
        <v>302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113.01408450704226</v>
      </c>
    </row>
    <row r="12" spans="1:10" x14ac:dyDescent="0.35">
      <c r="A12" s="11">
        <v>0.1</v>
      </c>
      <c r="B12" s="12" t="s">
        <v>303</v>
      </c>
      <c r="C12" s="13">
        <v>4.1666666666666666E-3</v>
      </c>
      <c r="D12" s="14" t="s">
        <v>304</v>
      </c>
      <c r="F12" s="21" t="s">
        <v>772</v>
      </c>
      <c r="G12" s="41">
        <f>Summary!H11</f>
        <v>0.46</v>
      </c>
      <c r="H12" s="49"/>
      <c r="I12" s="28"/>
    </row>
    <row r="13" spans="1:10" x14ac:dyDescent="0.35">
      <c r="A13" s="11">
        <v>0.11</v>
      </c>
      <c r="B13" s="12" t="s">
        <v>303</v>
      </c>
      <c r="C13" s="13">
        <v>4.4212962962962956E-3</v>
      </c>
      <c r="D13" s="14" t="s">
        <v>305</v>
      </c>
      <c r="F13" s="49"/>
      <c r="G13" s="49"/>
      <c r="H13" s="49"/>
      <c r="I13" s="29"/>
    </row>
    <row r="14" spans="1:10" x14ac:dyDescent="0.35">
      <c r="A14" s="11">
        <v>0.12</v>
      </c>
      <c r="B14" s="12" t="s">
        <v>175</v>
      </c>
      <c r="C14" s="13">
        <v>4.6759259259259263E-3</v>
      </c>
      <c r="D14" s="14" t="s">
        <v>306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175</v>
      </c>
      <c r="C15" s="13">
        <v>4.9305555555555552E-3</v>
      </c>
      <c r="D15" s="14" t="s">
        <v>307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0.62638888888888899</v>
      </c>
      <c r="H15" s="57">
        <f>G15/24</f>
        <v>2.6099537037037043E-2</v>
      </c>
    </row>
    <row r="16" spans="1:10" x14ac:dyDescent="0.35">
      <c r="A16" s="11">
        <v>0.14000000000000001</v>
      </c>
      <c r="B16" s="12" t="s">
        <v>308</v>
      </c>
      <c r="C16" s="13">
        <v>5.185185185185185E-3</v>
      </c>
      <c r="D16" s="14" t="s">
        <v>309</v>
      </c>
      <c r="F16" s="49"/>
      <c r="G16" s="49"/>
      <c r="H16" s="49"/>
    </row>
    <row r="17" spans="1:8" x14ac:dyDescent="0.35">
      <c r="A17" s="11">
        <v>0.15</v>
      </c>
      <c r="B17" s="12" t="s">
        <v>308</v>
      </c>
      <c r="C17" s="13">
        <v>5.4282407407407404E-3</v>
      </c>
      <c r="D17" s="14" t="s">
        <v>21</v>
      </c>
      <c r="F17" s="4" t="s">
        <v>694</v>
      </c>
      <c r="G17" s="27" t="s">
        <v>117</v>
      </c>
      <c r="H17" s="49"/>
    </row>
    <row r="18" spans="1:8" x14ac:dyDescent="0.35">
      <c r="A18" s="11">
        <v>0.16</v>
      </c>
      <c r="B18" s="12" t="s">
        <v>310</v>
      </c>
      <c r="C18" s="13">
        <v>5.6828703703703702E-3</v>
      </c>
      <c r="D18" s="14" t="s">
        <v>22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4.2403628117913827</v>
      </c>
      <c r="H18" s="49"/>
    </row>
    <row r="19" spans="1:8" x14ac:dyDescent="0.35">
      <c r="A19" s="11">
        <v>0.17</v>
      </c>
      <c r="B19" s="12" t="s">
        <v>310</v>
      </c>
      <c r="C19" s="13">
        <v>5.9375000000000009E-3</v>
      </c>
      <c r="D19" s="14" t="s">
        <v>24</v>
      </c>
      <c r="F19" s="21" t="str">
        <f>"Number of Charges for "&amp;G5&amp;" Miles Remaing"</f>
        <v>Number of Charges for 25 Miles Remaing</v>
      </c>
      <c r="G19" s="26">
        <f>(G5/((J4*(G10-G9))))</f>
        <v>0.14172335600907029</v>
      </c>
      <c r="H19" s="49"/>
    </row>
    <row r="20" spans="1:8" x14ac:dyDescent="0.35">
      <c r="A20" s="11">
        <v>0.18</v>
      </c>
      <c r="B20" s="12" t="s">
        <v>308</v>
      </c>
      <c r="C20" s="13">
        <v>6.1805555555555563E-3</v>
      </c>
      <c r="D20" s="14" t="s">
        <v>311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7.0861678004535147E-2</v>
      </c>
      <c r="H20" s="49"/>
    </row>
    <row r="21" spans="1:8" x14ac:dyDescent="0.35">
      <c r="A21" s="11">
        <v>0.19</v>
      </c>
      <c r="B21" s="12" t="s">
        <v>175</v>
      </c>
      <c r="C21" s="13">
        <v>6.4351851851851861E-3</v>
      </c>
      <c r="D21" s="14" t="s">
        <v>312</v>
      </c>
      <c r="F21" s="21" t="s">
        <v>770</v>
      </c>
      <c r="G21" s="26">
        <f>SUM(G18:G20)</f>
        <v>4.4529478458049878</v>
      </c>
      <c r="H21" s="49"/>
    </row>
    <row r="22" spans="1:8" x14ac:dyDescent="0.35">
      <c r="A22" s="11">
        <v>0.2</v>
      </c>
      <c r="B22" s="12" t="s">
        <v>303</v>
      </c>
      <c r="C22" s="13">
        <v>6.6898148148148142E-3</v>
      </c>
      <c r="D22" s="14" t="s">
        <v>313</v>
      </c>
      <c r="F22" s="49"/>
      <c r="G22" s="49"/>
      <c r="H22" s="49"/>
    </row>
    <row r="23" spans="1:8" x14ac:dyDescent="0.35">
      <c r="A23" s="11">
        <v>0.21</v>
      </c>
      <c r="B23" s="12" t="s">
        <v>314</v>
      </c>
      <c r="C23" s="13">
        <v>6.9444444444444441E-3</v>
      </c>
      <c r="D23" s="14" t="s">
        <v>315</v>
      </c>
      <c r="F23" s="4" t="s">
        <v>773</v>
      </c>
      <c r="G23" s="27" t="s">
        <v>785</v>
      </c>
      <c r="H23" s="27" t="s">
        <v>786</v>
      </c>
    </row>
    <row r="24" spans="1:8" x14ac:dyDescent="0.35">
      <c r="A24" s="11">
        <v>0.22</v>
      </c>
      <c r="B24" s="12" t="s">
        <v>177</v>
      </c>
      <c r="C24" s="13">
        <v>7.1990740740740739E-3</v>
      </c>
      <c r="D24" s="14" t="s">
        <v>316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8" x14ac:dyDescent="0.35">
      <c r="A25" s="11">
        <v>0.23</v>
      </c>
      <c r="B25" s="12" t="s">
        <v>177</v>
      </c>
      <c r="C25" s="13">
        <v>7.4537037037037028E-3</v>
      </c>
      <c r="D25" s="14" t="s">
        <v>317</v>
      </c>
      <c r="E25" s="1"/>
      <c r="F25" s="34" t="s">
        <v>116</v>
      </c>
      <c r="G25" s="37">
        <f>ROUNDUP(G21,0)*((G4/G7))</f>
        <v>0.41666666666666663</v>
      </c>
      <c r="H25" s="57">
        <f>G25/24</f>
        <v>1.7361111111111108E-2</v>
      </c>
    </row>
    <row r="26" spans="1:8" x14ac:dyDescent="0.35">
      <c r="A26" s="11">
        <v>0.24</v>
      </c>
      <c r="B26" s="12" t="s">
        <v>318</v>
      </c>
      <c r="C26" s="13">
        <v>7.7083333333333335E-3</v>
      </c>
      <c r="D26" s="14" t="s">
        <v>319</v>
      </c>
      <c r="F26" s="34" t="s">
        <v>99</v>
      </c>
      <c r="G26" s="37">
        <f>G21*G15</f>
        <v>2.7892770534139579</v>
      </c>
      <c r="H26" s="57">
        <f>G26/24</f>
        <v>0.11621987722558158</v>
      </c>
    </row>
    <row r="27" spans="1:8" x14ac:dyDescent="0.35">
      <c r="A27" s="11">
        <v>0.25</v>
      </c>
      <c r="B27" s="12" t="s">
        <v>179</v>
      </c>
      <c r="C27" s="13">
        <v>7.9745370370370369E-3</v>
      </c>
      <c r="D27" s="14" t="s">
        <v>320</v>
      </c>
      <c r="F27" s="35" t="s">
        <v>112</v>
      </c>
      <c r="G27" s="36">
        <f>SUM(G24:G26)</f>
        <v>17.49165800579491</v>
      </c>
      <c r="H27" s="58">
        <f>G27/24</f>
        <v>0.72881908357478797</v>
      </c>
    </row>
    <row r="28" spans="1:8" x14ac:dyDescent="0.35">
      <c r="A28" s="11">
        <v>0.26</v>
      </c>
      <c r="B28" s="12" t="s">
        <v>321</v>
      </c>
      <c r="C28" s="13">
        <v>8.2291666666666659E-3</v>
      </c>
      <c r="D28" s="14" t="s">
        <v>170</v>
      </c>
      <c r="F28" s="49"/>
      <c r="G28" s="49"/>
      <c r="H28" s="49"/>
    </row>
    <row r="29" spans="1:8" x14ac:dyDescent="0.35">
      <c r="A29" s="11">
        <v>0.27</v>
      </c>
      <c r="B29" s="12" t="s">
        <v>322</v>
      </c>
      <c r="C29" s="13">
        <v>8.4953703703703701E-3</v>
      </c>
      <c r="D29" s="14" t="s">
        <v>323</v>
      </c>
      <c r="F29" s="4" t="s">
        <v>781</v>
      </c>
      <c r="G29" s="27" t="s">
        <v>117</v>
      </c>
      <c r="H29" s="49"/>
    </row>
    <row r="30" spans="1:8" x14ac:dyDescent="0.35">
      <c r="A30" s="11">
        <v>0.28000000000000003</v>
      </c>
      <c r="B30" s="12" t="s">
        <v>181</v>
      </c>
      <c r="C30" s="13">
        <v>8.7615740740740744E-3</v>
      </c>
      <c r="D30" s="14" t="s">
        <v>324</v>
      </c>
      <c r="F30" s="5" t="s">
        <v>774</v>
      </c>
      <c r="G30" s="44">
        <f>VALUE(LEFT((VLOOKUP(G8,$A$2:$D$102,4,FALSE)),LEN((VLOOKUP(G8,$A$2:$D$102,4,FALSE)))-4))</f>
        <v>85</v>
      </c>
      <c r="H30" s="49"/>
    </row>
    <row r="31" spans="1:8" x14ac:dyDescent="0.35">
      <c r="A31" s="11">
        <v>0.28999999999999998</v>
      </c>
      <c r="B31" s="12" t="s">
        <v>325</v>
      </c>
      <c r="C31" s="13">
        <v>9.0277777777777787E-3</v>
      </c>
      <c r="D31" s="14" t="s">
        <v>326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59.5</v>
      </c>
      <c r="H31" s="49"/>
    </row>
    <row r="32" spans="1:8" x14ac:dyDescent="0.35">
      <c r="A32" s="11">
        <v>0.3</v>
      </c>
      <c r="B32" s="12" t="s">
        <v>183</v>
      </c>
      <c r="C32" s="13">
        <v>9.3055555555555548E-3</v>
      </c>
      <c r="D32" s="14" t="s">
        <v>327</v>
      </c>
      <c r="F32" s="5" t="s">
        <v>775</v>
      </c>
      <c r="G32" s="44">
        <f>(G21-G19)*G31</f>
        <v>256.51785714285711</v>
      </c>
      <c r="H32" s="2"/>
    </row>
    <row r="33" spans="1:8" x14ac:dyDescent="0.35">
      <c r="A33" s="11">
        <v>0.31</v>
      </c>
      <c r="B33" s="12" t="s">
        <v>328</v>
      </c>
      <c r="C33" s="13">
        <v>9.5833333333333343E-3</v>
      </c>
      <c r="D33" s="14" t="s">
        <v>36</v>
      </c>
      <c r="F33" s="30" t="s">
        <v>776</v>
      </c>
      <c r="G33" s="45">
        <f>G30*G11</f>
        <v>14.398999999999999</v>
      </c>
      <c r="H33" s="49"/>
    </row>
    <row r="34" spans="1:8" x14ac:dyDescent="0.35">
      <c r="A34" s="11">
        <v>0.32</v>
      </c>
      <c r="B34" s="12" t="s">
        <v>187</v>
      </c>
      <c r="C34" s="13">
        <v>9.8611111111111104E-3</v>
      </c>
      <c r="D34" s="14" t="s">
        <v>38</v>
      </c>
      <c r="F34" s="30" t="s">
        <v>777</v>
      </c>
      <c r="G34" s="45">
        <f>G32*G12</f>
        <v>117.99821428571427</v>
      </c>
      <c r="H34" s="29"/>
    </row>
    <row r="35" spans="1:8" x14ac:dyDescent="0.35">
      <c r="A35" s="11">
        <v>0.33</v>
      </c>
      <c r="B35" s="12" t="s">
        <v>329</v>
      </c>
      <c r="C35" s="13">
        <v>1.0138888888888888E-2</v>
      </c>
      <c r="D35" s="14" t="s">
        <v>39</v>
      </c>
      <c r="F35" s="30" t="s">
        <v>778</v>
      </c>
      <c r="G35" s="67">
        <f>SUM(G33:G34)</f>
        <v>132.39721428571426</v>
      </c>
      <c r="H35" s="49"/>
    </row>
    <row r="36" spans="1:8" x14ac:dyDescent="0.35">
      <c r="A36" s="11">
        <v>0.34</v>
      </c>
      <c r="B36" s="12" t="s">
        <v>330</v>
      </c>
      <c r="C36" s="13">
        <v>1.042824074074074E-2</v>
      </c>
      <c r="D36" s="14" t="s">
        <v>331</v>
      </c>
      <c r="F36" s="49"/>
      <c r="G36" s="49"/>
      <c r="H36" s="49"/>
    </row>
    <row r="37" spans="1:8" x14ac:dyDescent="0.35">
      <c r="A37" s="11">
        <v>0.35</v>
      </c>
      <c r="B37" s="12" t="s">
        <v>332</v>
      </c>
      <c r="C37" s="13">
        <v>1.0729166666666666E-2</v>
      </c>
      <c r="D37" s="14" t="s">
        <v>333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334</v>
      </c>
      <c r="C38" s="13">
        <v>1.1018518518518518E-2</v>
      </c>
      <c r="D38" s="14" t="s">
        <v>335</v>
      </c>
      <c r="F38" s="30" t="str">
        <f>"Fuel Efficiency @"&amp;$G$6&amp; "mph (Miles/kWh)"</f>
        <v>Fuel Efficiency @70mph (Miles/kWh)</v>
      </c>
      <c r="G38" s="66">
        <f>($J$4*($G$10-$G$9))/$G$31</f>
        <v>2.9647058823529413</v>
      </c>
      <c r="H38" s="49"/>
    </row>
    <row r="39" spans="1:8" x14ac:dyDescent="0.35">
      <c r="A39" s="11">
        <v>0.37</v>
      </c>
      <c r="B39" s="12" t="s">
        <v>195</v>
      </c>
      <c r="C39" s="13">
        <v>1.1319444444444444E-2</v>
      </c>
      <c r="D39" s="14" t="s">
        <v>336</v>
      </c>
      <c r="F39" s="30" t="str">
        <f>"Fuel Efficiency @"&amp;$G$6&amp; "mph (kWh/100 mi)"</f>
        <v>Fuel Efficiency @70mph (kWh/100 mi)</v>
      </c>
      <c r="G39" s="66">
        <f>(1/G38)*100</f>
        <v>33.730158730158728</v>
      </c>
      <c r="H39" s="49"/>
    </row>
    <row r="40" spans="1:8" x14ac:dyDescent="0.35">
      <c r="A40" s="11">
        <v>0.38</v>
      </c>
      <c r="B40" s="12" t="s">
        <v>197</v>
      </c>
      <c r="C40" s="13">
        <v>1.1631944444444445E-2</v>
      </c>
      <c r="D40" s="14" t="s">
        <v>337</v>
      </c>
      <c r="F40" s="23"/>
      <c r="G40" s="23"/>
      <c r="H40" s="49"/>
    </row>
    <row r="41" spans="1:8" x14ac:dyDescent="0.35">
      <c r="A41" s="11">
        <v>0.39</v>
      </c>
      <c r="B41" s="12" t="s">
        <v>199</v>
      </c>
      <c r="C41" s="13">
        <v>1.1944444444444445E-2</v>
      </c>
      <c r="D41" s="14" t="s">
        <v>198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338</v>
      </c>
      <c r="C42" s="13">
        <v>1.2256944444444444E-2</v>
      </c>
      <c r="D42" s="14" t="s">
        <v>200</v>
      </c>
      <c r="F42" s="30" t="s">
        <v>790</v>
      </c>
      <c r="G42" s="66" cm="1">
        <f t="array" ref="G42">AVERAGE(VALUE(LEFT(B12:B82, LEN(B12:B82) - 3)))</f>
        <v>113.01408450704226</v>
      </c>
      <c r="H42" s="49"/>
    </row>
    <row r="43" spans="1:8" x14ac:dyDescent="0.35">
      <c r="A43" s="11">
        <v>0.41</v>
      </c>
      <c r="B43" s="12" t="s">
        <v>298</v>
      </c>
      <c r="C43" s="13">
        <v>1.2569444444444446E-2</v>
      </c>
      <c r="D43" s="14" t="s">
        <v>201</v>
      </c>
      <c r="F43" s="49"/>
      <c r="G43" s="49"/>
      <c r="H43" s="49"/>
    </row>
    <row r="44" spans="1:8" x14ac:dyDescent="0.35">
      <c r="A44" s="11">
        <v>0.42</v>
      </c>
      <c r="B44" s="12" t="s">
        <v>298</v>
      </c>
      <c r="C44" s="13">
        <v>1.2893518518518519E-2</v>
      </c>
      <c r="D44" s="14" t="s">
        <v>339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298</v>
      </c>
      <c r="C45" s="13">
        <v>1.3206018518518518E-2</v>
      </c>
      <c r="D45" s="14" t="s">
        <v>340</v>
      </c>
      <c r="F45" s="21" t="s">
        <v>118</v>
      </c>
      <c r="G45" s="31">
        <f>ROUNDUP(G21,0)*G4</f>
        <v>12.5</v>
      </c>
      <c r="H45" s="49"/>
    </row>
    <row r="46" spans="1:8" x14ac:dyDescent="0.35">
      <c r="A46" s="11">
        <v>0.44</v>
      </c>
      <c r="B46" s="12" t="s">
        <v>63</v>
      </c>
      <c r="C46" s="13">
        <v>1.3530092592592594E-2</v>
      </c>
      <c r="D46" s="14" t="s">
        <v>341</v>
      </c>
      <c r="F46" s="30" t="s">
        <v>119</v>
      </c>
      <c r="G46" s="32">
        <f>G3+G45</f>
        <v>1012.5</v>
      </c>
      <c r="H46" s="49"/>
    </row>
    <row r="47" spans="1:8" x14ac:dyDescent="0.35">
      <c r="A47" s="11">
        <v>0.45</v>
      </c>
      <c r="B47" s="12" t="s">
        <v>61</v>
      </c>
      <c r="C47" s="13">
        <v>1.3842592592592594E-2</v>
      </c>
      <c r="D47" s="14" t="s">
        <v>342</v>
      </c>
      <c r="F47" s="21" t="s">
        <v>121</v>
      </c>
      <c r="G47" s="31">
        <f>(J4*G8)</f>
        <v>252</v>
      </c>
      <c r="H47" s="49"/>
    </row>
    <row r="48" spans="1:8" x14ac:dyDescent="0.35">
      <c r="A48" s="11">
        <v>0.46</v>
      </c>
      <c r="B48" s="12" t="s">
        <v>61</v>
      </c>
      <c r="C48" s="13">
        <v>1.4166666666666666E-2</v>
      </c>
      <c r="D48" s="14" t="s">
        <v>343</v>
      </c>
      <c r="F48" s="5" t="s">
        <v>120</v>
      </c>
      <c r="G48" s="32">
        <f>G46-G47</f>
        <v>760.5</v>
      </c>
      <c r="H48" s="49"/>
    </row>
    <row r="49" spans="1:8" x14ac:dyDescent="0.35">
      <c r="A49" s="11">
        <v>0.47</v>
      </c>
      <c r="B49" s="12" t="s">
        <v>61</v>
      </c>
      <c r="C49" s="13">
        <v>1.4490740740740742E-2</v>
      </c>
      <c r="D49" s="14" t="s">
        <v>48</v>
      </c>
      <c r="F49" s="21" t="s">
        <v>123</v>
      </c>
      <c r="G49" s="31">
        <f>G21*(J4*(G10-G9))</f>
        <v>785.49999999999989</v>
      </c>
      <c r="H49" s="49"/>
    </row>
    <row r="50" spans="1:8" x14ac:dyDescent="0.35">
      <c r="A50" s="11">
        <v>0.48</v>
      </c>
      <c r="B50" s="12" t="s">
        <v>64</v>
      </c>
      <c r="C50" s="13">
        <v>1.4814814814814814E-2</v>
      </c>
      <c r="D50" s="14" t="s">
        <v>49</v>
      </c>
      <c r="F50" s="30" t="s">
        <v>122</v>
      </c>
      <c r="G50" s="32">
        <f>ABS(G48-G49)</f>
        <v>24.999999999999886</v>
      </c>
      <c r="H50" s="49"/>
    </row>
    <row r="51" spans="1:8" x14ac:dyDescent="0.35">
      <c r="A51" s="11">
        <v>0.49</v>
      </c>
      <c r="B51" s="12" t="s">
        <v>344</v>
      </c>
      <c r="C51" s="13">
        <v>1.5138888888888889E-2</v>
      </c>
      <c r="D51" s="14" t="s">
        <v>50</v>
      </c>
    </row>
    <row r="52" spans="1:8" x14ac:dyDescent="0.35">
      <c r="A52" s="11">
        <v>0.5</v>
      </c>
      <c r="B52" s="12" t="s">
        <v>344</v>
      </c>
      <c r="C52" s="13">
        <v>1.5474537037037038E-2</v>
      </c>
      <c r="D52" s="14" t="s">
        <v>345</v>
      </c>
    </row>
    <row r="53" spans="1:8" x14ac:dyDescent="0.35">
      <c r="A53" s="11">
        <v>0.51</v>
      </c>
      <c r="B53" s="12" t="s">
        <v>344</v>
      </c>
      <c r="C53" s="13">
        <v>1.579861111111111E-2</v>
      </c>
      <c r="D53" s="14" t="s">
        <v>220</v>
      </c>
    </row>
    <row r="54" spans="1:8" x14ac:dyDescent="0.35">
      <c r="A54" s="11">
        <v>0.52</v>
      </c>
      <c r="B54" s="12" t="s">
        <v>346</v>
      </c>
      <c r="C54" s="13">
        <v>1.6134259259259261E-2</v>
      </c>
      <c r="D54" s="14" t="s">
        <v>222</v>
      </c>
    </row>
    <row r="55" spans="1:8" x14ac:dyDescent="0.35">
      <c r="A55" s="11">
        <v>0.53</v>
      </c>
      <c r="B55" s="12" t="s">
        <v>203</v>
      </c>
      <c r="C55" s="13">
        <v>1.6458333333333332E-2</v>
      </c>
      <c r="D55" s="14" t="s">
        <v>223</v>
      </c>
    </row>
    <row r="56" spans="1:8" x14ac:dyDescent="0.35">
      <c r="A56" s="11">
        <v>0.54</v>
      </c>
      <c r="B56" s="12" t="s">
        <v>347</v>
      </c>
      <c r="C56" s="13">
        <v>1.6793981481481483E-2</v>
      </c>
      <c r="D56" s="14" t="s">
        <v>348</v>
      </c>
    </row>
    <row r="57" spans="1:8" x14ac:dyDescent="0.35">
      <c r="A57" s="11">
        <v>0.55000000000000004</v>
      </c>
      <c r="B57" s="12" t="s">
        <v>347</v>
      </c>
      <c r="C57" s="13">
        <v>1.712962962962963E-2</v>
      </c>
      <c r="D57" s="14" t="s">
        <v>349</v>
      </c>
    </row>
    <row r="58" spans="1:8" x14ac:dyDescent="0.35">
      <c r="A58" s="11">
        <v>0.56000000000000005</v>
      </c>
      <c r="B58" s="12" t="s">
        <v>205</v>
      </c>
      <c r="C58" s="13">
        <v>1.7476851851851851E-2</v>
      </c>
      <c r="D58" s="14" t="s">
        <v>350</v>
      </c>
    </row>
    <row r="59" spans="1:8" x14ac:dyDescent="0.35">
      <c r="A59" s="11">
        <v>0.56999999999999995</v>
      </c>
      <c r="B59" s="12" t="s">
        <v>351</v>
      </c>
      <c r="C59" s="13">
        <v>1.7812499999999998E-2</v>
      </c>
      <c r="D59" s="14" t="s">
        <v>352</v>
      </c>
    </row>
    <row r="60" spans="1:8" x14ac:dyDescent="0.35">
      <c r="A60" s="11">
        <v>0.57999999999999996</v>
      </c>
      <c r="B60" s="12" t="s">
        <v>207</v>
      </c>
      <c r="C60" s="13">
        <v>1.8159722222222219E-2</v>
      </c>
      <c r="D60" s="14" t="s">
        <v>353</v>
      </c>
    </row>
    <row r="61" spans="1:8" x14ac:dyDescent="0.35">
      <c r="A61" s="11">
        <v>0.59</v>
      </c>
      <c r="B61" s="12" t="s">
        <v>354</v>
      </c>
      <c r="C61" s="13">
        <v>1.8530092592592595E-2</v>
      </c>
      <c r="D61" s="14" t="s">
        <v>355</v>
      </c>
    </row>
    <row r="62" spans="1:8" x14ac:dyDescent="0.35">
      <c r="A62" s="11">
        <v>0.6</v>
      </c>
      <c r="B62" s="12" t="s">
        <v>232</v>
      </c>
      <c r="C62" s="13">
        <v>1.8969907407407408E-2</v>
      </c>
      <c r="D62" s="14" t="s">
        <v>356</v>
      </c>
    </row>
    <row r="63" spans="1:8" x14ac:dyDescent="0.35">
      <c r="A63" s="11">
        <v>0.61</v>
      </c>
      <c r="B63" s="12" t="s">
        <v>256</v>
      </c>
      <c r="C63" s="13">
        <v>1.9502314814814816E-2</v>
      </c>
      <c r="D63" s="14" t="s">
        <v>357</v>
      </c>
    </row>
    <row r="64" spans="1:8" x14ac:dyDescent="0.35">
      <c r="A64" s="11">
        <v>0.62</v>
      </c>
      <c r="B64" s="12" t="s">
        <v>259</v>
      </c>
      <c r="C64" s="13">
        <v>2.0127314814814817E-2</v>
      </c>
      <c r="D64" s="14" t="s">
        <v>358</v>
      </c>
    </row>
    <row r="65" spans="1:4" x14ac:dyDescent="0.35">
      <c r="A65" s="11">
        <v>0.63</v>
      </c>
      <c r="B65" s="12" t="s">
        <v>359</v>
      </c>
      <c r="C65" s="13">
        <v>2.0787037037037038E-2</v>
      </c>
      <c r="D65" s="14" t="s">
        <v>58</v>
      </c>
    </row>
    <row r="66" spans="1:4" x14ac:dyDescent="0.35">
      <c r="A66" s="11">
        <v>0.64</v>
      </c>
      <c r="B66" s="12" t="s">
        <v>260</v>
      </c>
      <c r="C66" s="13">
        <v>2.1458333333333333E-2</v>
      </c>
      <c r="D66" s="14" t="s">
        <v>60</v>
      </c>
    </row>
    <row r="67" spans="1:4" x14ac:dyDescent="0.35">
      <c r="A67" s="11">
        <v>0.65</v>
      </c>
      <c r="B67" s="12" t="s">
        <v>360</v>
      </c>
      <c r="C67" s="13">
        <v>2.2141203703703705E-2</v>
      </c>
      <c r="D67" s="14" t="s">
        <v>62</v>
      </c>
    </row>
    <row r="68" spans="1:4" x14ac:dyDescent="0.35">
      <c r="A68" s="11">
        <v>0.66</v>
      </c>
      <c r="B68" s="12" t="s">
        <v>80</v>
      </c>
      <c r="C68" s="13">
        <v>2.2847222222222224E-2</v>
      </c>
      <c r="D68" s="14" t="s">
        <v>249</v>
      </c>
    </row>
    <row r="69" spans="1:4" x14ac:dyDescent="0.35">
      <c r="A69" s="11">
        <v>0.67</v>
      </c>
      <c r="B69" s="12" t="s">
        <v>361</v>
      </c>
      <c r="C69" s="13">
        <v>2.3518518518518518E-2</v>
      </c>
      <c r="D69" s="14" t="s">
        <v>362</v>
      </c>
    </row>
    <row r="70" spans="1:4" x14ac:dyDescent="0.35">
      <c r="A70" s="11">
        <v>0.68</v>
      </c>
      <c r="B70" s="12" t="s">
        <v>256</v>
      </c>
      <c r="C70" s="13">
        <v>2.4131944444444445E-2</v>
      </c>
      <c r="D70" s="14" t="s">
        <v>363</v>
      </c>
    </row>
    <row r="71" spans="1:4" x14ac:dyDescent="0.35">
      <c r="A71" s="11">
        <v>0.69</v>
      </c>
      <c r="B71" s="12" t="s">
        <v>248</v>
      </c>
      <c r="C71" s="13">
        <v>2.4699074074074078E-2</v>
      </c>
      <c r="D71" s="14" t="s">
        <v>364</v>
      </c>
    </row>
    <row r="72" spans="1:4" x14ac:dyDescent="0.35">
      <c r="A72" s="11">
        <v>0.7</v>
      </c>
      <c r="B72" s="12" t="s">
        <v>239</v>
      </c>
      <c r="C72" s="13">
        <v>2.5231481481481483E-2</v>
      </c>
      <c r="D72" s="14" t="s">
        <v>365</v>
      </c>
    </row>
    <row r="73" spans="1:4" x14ac:dyDescent="0.35">
      <c r="A73" s="11">
        <v>0.71</v>
      </c>
      <c r="B73" s="12" t="s">
        <v>237</v>
      </c>
      <c r="C73" s="13">
        <v>2.5729166666666664E-2</v>
      </c>
      <c r="D73" s="14" t="s">
        <v>366</v>
      </c>
    </row>
    <row r="74" spans="1:4" x14ac:dyDescent="0.35">
      <c r="A74" s="11">
        <v>0.72</v>
      </c>
      <c r="B74" s="12" t="s">
        <v>367</v>
      </c>
      <c r="C74" s="13">
        <v>2.6226851851851852E-2</v>
      </c>
      <c r="D74" s="14" t="s">
        <v>368</v>
      </c>
    </row>
    <row r="75" spans="1:4" x14ac:dyDescent="0.35">
      <c r="A75" s="11">
        <v>0.73</v>
      </c>
      <c r="B75" s="12" t="s">
        <v>232</v>
      </c>
      <c r="C75" s="13">
        <v>2.6712962962962966E-2</v>
      </c>
      <c r="D75" s="14" t="s">
        <v>369</v>
      </c>
    </row>
    <row r="76" spans="1:4" x14ac:dyDescent="0.35">
      <c r="A76" s="11">
        <v>0.74</v>
      </c>
      <c r="B76" s="12" t="s">
        <v>292</v>
      </c>
      <c r="C76" s="13">
        <v>2.71875E-2</v>
      </c>
      <c r="D76" s="14" t="s">
        <v>370</v>
      </c>
    </row>
    <row r="77" spans="1:4" x14ac:dyDescent="0.35">
      <c r="A77" s="11">
        <v>0.75</v>
      </c>
      <c r="B77" s="12" t="s">
        <v>232</v>
      </c>
      <c r="C77" s="13">
        <v>2.7673611111111111E-2</v>
      </c>
      <c r="D77" s="14" t="s">
        <v>371</v>
      </c>
    </row>
    <row r="78" spans="1:4" x14ac:dyDescent="0.35">
      <c r="A78" s="11">
        <v>0.76</v>
      </c>
      <c r="B78" s="12" t="s">
        <v>367</v>
      </c>
      <c r="C78" s="13">
        <v>2.8159722222222221E-2</v>
      </c>
      <c r="D78" s="14" t="s">
        <v>372</v>
      </c>
    </row>
    <row r="79" spans="1:4" x14ac:dyDescent="0.35">
      <c r="A79" s="11">
        <v>0.77</v>
      </c>
      <c r="B79" s="12" t="s">
        <v>235</v>
      </c>
      <c r="C79" s="13">
        <v>2.8645833333333332E-2</v>
      </c>
      <c r="D79" s="14" t="s">
        <v>373</v>
      </c>
    </row>
    <row r="80" spans="1:4" x14ac:dyDescent="0.35">
      <c r="A80" s="11">
        <v>0.78</v>
      </c>
      <c r="B80" s="12" t="s">
        <v>74</v>
      </c>
      <c r="C80" s="13">
        <v>2.9155092592592594E-2</v>
      </c>
      <c r="D80" s="14" t="s">
        <v>374</v>
      </c>
    </row>
    <row r="81" spans="1:4" x14ac:dyDescent="0.35">
      <c r="A81" s="11">
        <v>0.79</v>
      </c>
      <c r="B81" s="12" t="s">
        <v>250</v>
      </c>
      <c r="C81" s="13">
        <v>2.9687500000000002E-2</v>
      </c>
      <c r="D81" s="14" t="s">
        <v>85</v>
      </c>
    </row>
    <row r="82" spans="1:4" x14ac:dyDescent="0.35">
      <c r="A82" s="11">
        <v>0.8</v>
      </c>
      <c r="B82" s="12" t="s">
        <v>255</v>
      </c>
      <c r="C82" s="13">
        <v>3.0266203703703708E-2</v>
      </c>
      <c r="D82" s="14" t="s">
        <v>87</v>
      </c>
    </row>
    <row r="83" spans="1:4" x14ac:dyDescent="0.35">
      <c r="A83" s="11">
        <v>0.81</v>
      </c>
      <c r="B83" s="12" t="s">
        <v>375</v>
      </c>
      <c r="C83" s="13">
        <v>3.0856481481481481E-2</v>
      </c>
      <c r="D83" s="14" t="s">
        <v>89</v>
      </c>
    </row>
    <row r="84" spans="1:4" x14ac:dyDescent="0.35">
      <c r="A84" s="11">
        <v>0.82</v>
      </c>
      <c r="B84" s="12" t="s">
        <v>78</v>
      </c>
      <c r="C84" s="13">
        <v>3.1469907407407412E-2</v>
      </c>
      <c r="D84" s="14" t="s">
        <v>376</v>
      </c>
    </row>
    <row r="85" spans="1:4" x14ac:dyDescent="0.35">
      <c r="A85" s="11">
        <v>0.83</v>
      </c>
      <c r="B85" s="12" t="s">
        <v>259</v>
      </c>
      <c r="C85" s="13">
        <v>3.2118055555555559E-2</v>
      </c>
      <c r="D85" s="14" t="s">
        <v>377</v>
      </c>
    </row>
    <row r="86" spans="1:4" x14ac:dyDescent="0.35">
      <c r="A86" s="11">
        <v>0.84</v>
      </c>
      <c r="B86" s="12" t="s">
        <v>260</v>
      </c>
      <c r="C86" s="13">
        <v>3.2777777777777781E-2</v>
      </c>
      <c r="D86" s="14" t="s">
        <v>378</v>
      </c>
    </row>
    <row r="87" spans="1:4" x14ac:dyDescent="0.35">
      <c r="A87" s="11">
        <v>0.85</v>
      </c>
      <c r="B87" s="12" t="s">
        <v>80</v>
      </c>
      <c r="C87" s="13">
        <v>3.3472222222222223E-2</v>
      </c>
      <c r="D87" s="14" t="s">
        <v>379</v>
      </c>
    </row>
    <row r="88" spans="1:4" x14ac:dyDescent="0.35">
      <c r="A88" s="11">
        <v>0.86</v>
      </c>
      <c r="B88" s="12" t="s">
        <v>380</v>
      </c>
      <c r="C88" s="13">
        <v>3.4201388888888885E-2</v>
      </c>
      <c r="D88" s="14" t="s">
        <v>381</v>
      </c>
    </row>
    <row r="89" spans="1:4" x14ac:dyDescent="0.35">
      <c r="A89" s="11">
        <v>0.87</v>
      </c>
      <c r="B89" s="12" t="s">
        <v>382</v>
      </c>
      <c r="C89" s="13">
        <v>3.4953703703703702E-2</v>
      </c>
      <c r="D89" s="14" t="s">
        <v>383</v>
      </c>
    </row>
    <row r="90" spans="1:4" x14ac:dyDescent="0.35">
      <c r="A90" s="11">
        <v>0.88</v>
      </c>
      <c r="B90" s="12" t="s">
        <v>384</v>
      </c>
      <c r="C90" s="13">
        <v>3.5752314814814813E-2</v>
      </c>
      <c r="D90" s="14" t="s">
        <v>385</v>
      </c>
    </row>
    <row r="91" spans="1:4" x14ac:dyDescent="0.35">
      <c r="A91" s="11">
        <v>0.89</v>
      </c>
      <c r="B91" s="12" t="s">
        <v>262</v>
      </c>
      <c r="C91" s="13">
        <v>3.6574074074074071E-2</v>
      </c>
      <c r="D91" s="14" t="s">
        <v>386</v>
      </c>
    </row>
    <row r="92" spans="1:4" x14ac:dyDescent="0.35">
      <c r="A92" s="11">
        <v>0.9</v>
      </c>
      <c r="B92" s="12" t="s">
        <v>265</v>
      </c>
      <c r="C92" s="13">
        <v>3.7453703703703704E-2</v>
      </c>
      <c r="D92" s="14" t="s">
        <v>387</v>
      </c>
    </row>
    <row r="93" spans="1:4" x14ac:dyDescent="0.35">
      <c r="A93" s="11">
        <v>0.91</v>
      </c>
      <c r="B93" s="12" t="s">
        <v>388</v>
      </c>
      <c r="C93" s="13">
        <v>3.8368055555555551E-2</v>
      </c>
      <c r="D93" s="14" t="s">
        <v>283</v>
      </c>
    </row>
    <row r="94" spans="1:4" x14ac:dyDescent="0.35">
      <c r="A94" s="11">
        <v>0.92</v>
      </c>
      <c r="B94" s="12" t="s">
        <v>270</v>
      </c>
      <c r="C94" s="13">
        <v>3.9340277777777773E-2</v>
      </c>
      <c r="D94" s="14" t="s">
        <v>285</v>
      </c>
    </row>
    <row r="95" spans="1:4" x14ac:dyDescent="0.35">
      <c r="A95" s="11">
        <v>0.93</v>
      </c>
      <c r="B95" s="12" t="s">
        <v>272</v>
      </c>
      <c r="C95" s="13">
        <v>4.0381944444444443E-2</v>
      </c>
      <c r="D95" s="14" t="s">
        <v>287</v>
      </c>
    </row>
    <row r="96" spans="1:4" x14ac:dyDescent="0.35">
      <c r="A96" s="11">
        <v>0.94</v>
      </c>
      <c r="B96" s="12" t="s">
        <v>88</v>
      </c>
      <c r="C96" s="13">
        <v>4.148148148148148E-2</v>
      </c>
      <c r="D96" s="14" t="s">
        <v>389</v>
      </c>
    </row>
    <row r="97" spans="1:4" x14ac:dyDescent="0.35">
      <c r="A97" s="11">
        <v>0.95</v>
      </c>
      <c r="B97" s="12" t="s">
        <v>390</v>
      </c>
      <c r="C97" s="13">
        <v>4.2650462962962959E-2</v>
      </c>
      <c r="D97" s="14" t="s">
        <v>391</v>
      </c>
    </row>
    <row r="98" spans="1:4" x14ac:dyDescent="0.35">
      <c r="A98" s="11">
        <v>0.96</v>
      </c>
      <c r="B98" s="12" t="s">
        <v>392</v>
      </c>
      <c r="C98" s="13">
        <v>4.3923611111111115E-2</v>
      </c>
      <c r="D98" s="14" t="s">
        <v>393</v>
      </c>
    </row>
    <row r="99" spans="1:4" x14ac:dyDescent="0.35">
      <c r="A99" s="11">
        <v>0.97</v>
      </c>
      <c r="B99" s="12" t="s">
        <v>278</v>
      </c>
      <c r="C99" s="13">
        <v>4.5289351851851851E-2</v>
      </c>
      <c r="D99" s="14" t="s">
        <v>394</v>
      </c>
    </row>
    <row r="100" spans="1:4" x14ac:dyDescent="0.35">
      <c r="A100" s="11">
        <v>0.98</v>
      </c>
      <c r="B100" s="12" t="s">
        <v>93</v>
      </c>
      <c r="C100" s="13">
        <v>4.6770833333333338E-2</v>
      </c>
      <c r="D100" s="14" t="s">
        <v>395</v>
      </c>
    </row>
    <row r="101" spans="1:4" x14ac:dyDescent="0.35">
      <c r="A101" s="11">
        <v>0.99</v>
      </c>
      <c r="B101" s="12" t="s">
        <v>282</v>
      </c>
      <c r="C101" s="13">
        <v>4.8402777777777774E-2</v>
      </c>
      <c r="D101" s="14" t="s">
        <v>396</v>
      </c>
    </row>
    <row r="102" spans="1:4" ht="15" thickBot="1" x14ac:dyDescent="0.4">
      <c r="A102" s="15">
        <v>1</v>
      </c>
      <c r="B102" s="16" t="s">
        <v>397</v>
      </c>
      <c r="C102" s="17">
        <v>5.0208333333333334E-2</v>
      </c>
      <c r="D102" s="18" t="s">
        <v>398</v>
      </c>
    </row>
    <row r="103" spans="1:4" x14ac:dyDescent="0.35">
      <c r="D103" s="2"/>
    </row>
  </sheetData>
  <hyperlinks>
    <hyperlink ref="J5" r:id="rId1" xr:uid="{7267ECEF-273B-4822-B56E-BF8347E97C3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C745-40E8-46EC-8ACB-0ABFB3449E3E}">
  <dimension ref="A1:J103"/>
  <sheetViews>
    <sheetView topLeftCell="A14" workbookViewId="0">
      <selection activeCell="F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397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92</v>
      </c>
      <c r="C3" s="13">
        <v>1.1458333333333333E-3</v>
      </c>
      <c r="D3" s="14" t="s">
        <v>637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635</v>
      </c>
    </row>
    <row r="4" spans="1:10" ht="15" thickBot="1" x14ac:dyDescent="0.4">
      <c r="A4" s="11">
        <v>0.02</v>
      </c>
      <c r="B4" s="12" t="s">
        <v>638</v>
      </c>
      <c r="C4" s="13">
        <v>2.0601851851851853E-3</v>
      </c>
      <c r="D4" s="14" t="s">
        <v>639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199</v>
      </c>
    </row>
    <row r="5" spans="1:10" ht="15" thickBot="1" x14ac:dyDescent="0.4">
      <c r="A5" s="11">
        <v>0.03</v>
      </c>
      <c r="B5" s="12" t="s">
        <v>272</v>
      </c>
      <c r="C5" s="13">
        <v>2.8935185185185188E-3</v>
      </c>
      <c r="D5" s="14" t="s">
        <v>640</v>
      </c>
      <c r="F5" s="21" t="s">
        <v>98</v>
      </c>
      <c r="G5" s="38">
        <f>Summary!H4</f>
        <v>25</v>
      </c>
      <c r="H5" s="23"/>
      <c r="I5" s="6" t="s">
        <v>108</v>
      </c>
      <c r="J5" s="20" t="s">
        <v>634</v>
      </c>
    </row>
    <row r="6" spans="1:10" ht="15" thickBot="1" x14ac:dyDescent="0.4">
      <c r="A6" s="11">
        <v>0.04</v>
      </c>
      <c r="B6" s="12" t="s">
        <v>270</v>
      </c>
      <c r="C6" s="13">
        <v>3.6689814814814814E-3</v>
      </c>
      <c r="D6" s="14" t="s">
        <v>293</v>
      </c>
      <c r="F6" s="21" t="s">
        <v>97</v>
      </c>
      <c r="G6" s="38">
        <f>Summary!H5</f>
        <v>70</v>
      </c>
      <c r="H6" s="23"/>
      <c r="I6" s="6" t="s">
        <v>106</v>
      </c>
      <c r="J6" s="20" t="s">
        <v>636</v>
      </c>
    </row>
    <row r="7" spans="1:10" x14ac:dyDescent="0.35">
      <c r="A7" s="11">
        <v>0.05</v>
      </c>
      <c r="B7" s="12" t="s">
        <v>267</v>
      </c>
      <c r="C7" s="13">
        <v>4.386574074074074E-3</v>
      </c>
      <c r="D7" s="14" t="s">
        <v>8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469</v>
      </c>
      <c r="C8" s="13">
        <v>5.0694444444444441E-3</v>
      </c>
      <c r="D8" s="14" t="s">
        <v>405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384</v>
      </c>
      <c r="C9" s="13">
        <v>5.6944444444444438E-3</v>
      </c>
      <c r="D9" s="14" t="s">
        <v>641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199</v>
      </c>
    </row>
    <row r="10" spans="1:10" x14ac:dyDescent="0.35">
      <c r="A10" s="11">
        <v>0.08</v>
      </c>
      <c r="B10" s="12" t="s">
        <v>382</v>
      </c>
      <c r="C10" s="13">
        <v>6.2962962962962964E-3</v>
      </c>
      <c r="D10" s="14" t="s">
        <v>297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3.109375</v>
      </c>
    </row>
    <row r="11" spans="1:10" x14ac:dyDescent="0.35">
      <c r="A11" s="11">
        <v>0.09</v>
      </c>
      <c r="B11" s="12" t="s">
        <v>380</v>
      </c>
      <c r="C11" s="13">
        <v>6.8634259259259256E-3</v>
      </c>
      <c r="D11" s="14" t="s">
        <v>642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110.40845070422536</v>
      </c>
    </row>
    <row r="12" spans="1:10" x14ac:dyDescent="0.35">
      <c r="A12" s="11">
        <v>0.1</v>
      </c>
      <c r="B12" s="12" t="s">
        <v>360</v>
      </c>
      <c r="C12" s="13">
        <v>7.3958333333333341E-3</v>
      </c>
      <c r="D12" s="14" t="s">
        <v>13</v>
      </c>
      <c r="F12" s="21" t="s">
        <v>772</v>
      </c>
      <c r="G12" s="41">
        <f>Summary!H11</f>
        <v>0.46</v>
      </c>
      <c r="H12" s="49"/>
      <c r="I12" s="28"/>
    </row>
    <row r="13" spans="1:10" x14ac:dyDescent="0.35">
      <c r="A13" s="11">
        <v>0.11</v>
      </c>
      <c r="B13" s="12" t="s">
        <v>78</v>
      </c>
      <c r="C13" s="13">
        <v>7.8935185185185185E-3</v>
      </c>
      <c r="D13" s="14" t="s">
        <v>643</v>
      </c>
      <c r="F13" s="49"/>
      <c r="G13" s="49"/>
      <c r="H13" s="49"/>
      <c r="I13" s="29"/>
    </row>
    <row r="14" spans="1:10" x14ac:dyDescent="0.35">
      <c r="A14" s="11">
        <v>0.12</v>
      </c>
      <c r="B14" s="12" t="s">
        <v>177</v>
      </c>
      <c r="C14" s="13">
        <v>8.1712962962962963E-3</v>
      </c>
      <c r="D14" s="14" t="s">
        <v>411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310</v>
      </c>
      <c r="C15" s="13">
        <v>8.3564814814814804E-3</v>
      </c>
      <c r="D15" s="14" t="s">
        <v>497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0.49222222222222223</v>
      </c>
      <c r="H15" s="57">
        <f>G15/24</f>
        <v>2.0509259259259258E-2</v>
      </c>
    </row>
    <row r="16" spans="1:10" x14ac:dyDescent="0.35">
      <c r="A16" s="11">
        <v>0.14000000000000001</v>
      </c>
      <c r="B16" s="12" t="s">
        <v>310</v>
      </c>
      <c r="C16" s="13">
        <v>8.5532407407407415E-3</v>
      </c>
      <c r="D16" s="14" t="s">
        <v>644</v>
      </c>
      <c r="F16" s="49"/>
      <c r="G16" s="49"/>
      <c r="H16" s="49"/>
    </row>
    <row r="17" spans="1:8" x14ac:dyDescent="0.35">
      <c r="A17" s="11">
        <v>0.15</v>
      </c>
      <c r="B17" s="12" t="s">
        <v>173</v>
      </c>
      <c r="C17" s="13">
        <v>8.7384259259259255E-3</v>
      </c>
      <c r="D17" s="14" t="s">
        <v>17</v>
      </c>
      <c r="F17" s="4" t="s">
        <v>694</v>
      </c>
      <c r="G17" s="27" t="s">
        <v>117</v>
      </c>
      <c r="H17" s="49"/>
    </row>
    <row r="18" spans="1:8" x14ac:dyDescent="0.35">
      <c r="A18" s="11">
        <v>0.16</v>
      </c>
      <c r="B18" s="12" t="s">
        <v>173</v>
      </c>
      <c r="C18" s="13">
        <v>8.9236111111111113E-3</v>
      </c>
      <c r="D18" s="14" t="s">
        <v>306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5.7501794687724335</v>
      </c>
      <c r="H18" s="49"/>
    </row>
    <row r="19" spans="1:8" x14ac:dyDescent="0.35">
      <c r="A19" s="11">
        <v>0.17</v>
      </c>
      <c r="B19" s="12" t="s">
        <v>645</v>
      </c>
      <c r="C19" s="13">
        <v>9.1087962962962971E-3</v>
      </c>
      <c r="D19" s="14" t="s">
        <v>646</v>
      </c>
      <c r="F19" s="21" t="str">
        <f>"Number of Charges for "&amp;G5&amp;" Miles Remaing"</f>
        <v>Number of Charges for 25 Miles Remaing</v>
      </c>
      <c r="G19" s="26">
        <f>(G5/((J4*(G10-G9))))</f>
        <v>0.17946877243359655</v>
      </c>
      <c r="H19" s="49"/>
    </row>
    <row r="20" spans="1:8" x14ac:dyDescent="0.35">
      <c r="A20" s="11">
        <v>0.18</v>
      </c>
      <c r="B20" s="12" t="s">
        <v>645</v>
      </c>
      <c r="C20" s="13">
        <v>9.2939814814814812E-3</v>
      </c>
      <c r="D20" s="14" t="s">
        <v>647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0.12562814070351758</v>
      </c>
      <c r="H20" s="49"/>
    </row>
    <row r="21" spans="1:8" x14ac:dyDescent="0.35">
      <c r="A21" s="11">
        <v>0.19</v>
      </c>
      <c r="B21" s="12" t="s">
        <v>645</v>
      </c>
      <c r="C21" s="13">
        <v>9.479166666666667E-3</v>
      </c>
      <c r="D21" s="14" t="s">
        <v>648</v>
      </c>
      <c r="F21" s="21" t="s">
        <v>770</v>
      </c>
      <c r="G21" s="26">
        <f>SUM(G18:G20)</f>
        <v>6.0552763819095468</v>
      </c>
      <c r="H21" s="49"/>
    </row>
    <row r="22" spans="1:8" x14ac:dyDescent="0.35">
      <c r="A22" s="11">
        <v>0.2</v>
      </c>
      <c r="B22" s="12" t="s">
        <v>645</v>
      </c>
      <c r="C22" s="13">
        <v>9.6643518518518511E-3</v>
      </c>
      <c r="D22" s="14" t="s">
        <v>21</v>
      </c>
      <c r="F22" s="49"/>
      <c r="G22" s="49"/>
      <c r="H22" s="49"/>
    </row>
    <row r="23" spans="1:8" x14ac:dyDescent="0.35">
      <c r="A23" s="11">
        <v>0.21</v>
      </c>
      <c r="B23" s="12" t="s">
        <v>649</v>
      </c>
      <c r="C23" s="13">
        <v>9.8495370370370369E-3</v>
      </c>
      <c r="D23" s="14" t="s">
        <v>149</v>
      </c>
      <c r="F23" s="4" t="s">
        <v>773</v>
      </c>
      <c r="G23" s="27" t="s">
        <v>785</v>
      </c>
      <c r="H23" s="27" t="s">
        <v>786</v>
      </c>
    </row>
    <row r="24" spans="1:8" x14ac:dyDescent="0.35">
      <c r="A24" s="11">
        <v>0.22</v>
      </c>
      <c r="B24" s="12" t="s">
        <v>649</v>
      </c>
      <c r="C24" s="13">
        <v>1.0034722222222221E-2</v>
      </c>
      <c r="D24" s="14" t="s">
        <v>572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8" x14ac:dyDescent="0.35">
      <c r="A25" s="11">
        <v>0.23</v>
      </c>
      <c r="B25" s="12" t="s">
        <v>171</v>
      </c>
      <c r="C25" s="13">
        <v>1.0208333333333333E-2</v>
      </c>
      <c r="D25" s="14" t="s">
        <v>501</v>
      </c>
      <c r="E25" s="1"/>
      <c r="F25" s="34" t="s">
        <v>116</v>
      </c>
      <c r="G25" s="37">
        <f>ROUNDUP(G21,0)*((G4/G7))</f>
        <v>0.58333333333333326</v>
      </c>
      <c r="H25" s="57">
        <f>G25/24</f>
        <v>2.4305555555555552E-2</v>
      </c>
    </row>
    <row r="26" spans="1:8" x14ac:dyDescent="0.35">
      <c r="A26" s="11">
        <v>0.24</v>
      </c>
      <c r="B26" s="12" t="s">
        <v>171</v>
      </c>
      <c r="C26" s="13">
        <v>1.0393518518518519E-2</v>
      </c>
      <c r="D26" s="14" t="s">
        <v>420</v>
      </c>
      <c r="F26" s="34" t="s">
        <v>99</v>
      </c>
      <c r="G26" s="37">
        <f>G21*G15</f>
        <v>2.9805415968732549</v>
      </c>
      <c r="H26" s="57">
        <f>G26/24</f>
        <v>0.12418923320305229</v>
      </c>
    </row>
    <row r="27" spans="1:8" x14ac:dyDescent="0.35">
      <c r="A27" s="11">
        <v>0.25</v>
      </c>
      <c r="B27" s="12" t="s">
        <v>171</v>
      </c>
      <c r="C27" s="13">
        <v>1.0578703703703703E-2</v>
      </c>
      <c r="D27" s="14" t="s">
        <v>25</v>
      </c>
      <c r="F27" s="35" t="s">
        <v>112</v>
      </c>
      <c r="G27" s="36">
        <f>SUM(G24:G26)</f>
        <v>17.849589215920876</v>
      </c>
      <c r="H27" s="58">
        <f>G27/24</f>
        <v>0.74373288399670312</v>
      </c>
    </row>
    <row r="28" spans="1:8" x14ac:dyDescent="0.35">
      <c r="A28" s="11">
        <v>0.26</v>
      </c>
      <c r="B28" s="12" t="s">
        <v>171</v>
      </c>
      <c r="C28" s="13">
        <v>1.0763888888888891E-2</v>
      </c>
      <c r="D28" s="14" t="s">
        <v>157</v>
      </c>
      <c r="F28" s="49"/>
      <c r="G28" s="49"/>
      <c r="H28" s="49"/>
    </row>
    <row r="29" spans="1:8" x14ac:dyDescent="0.35">
      <c r="A29" s="11">
        <v>0.27</v>
      </c>
      <c r="B29" s="12" t="s">
        <v>171</v>
      </c>
      <c r="C29" s="13">
        <v>1.0949074074074075E-2</v>
      </c>
      <c r="D29" s="14" t="s">
        <v>650</v>
      </c>
      <c r="F29" s="4" t="s">
        <v>781</v>
      </c>
      <c r="G29" s="27" t="s">
        <v>117</v>
      </c>
      <c r="H29" s="49"/>
    </row>
    <row r="30" spans="1:8" x14ac:dyDescent="0.35">
      <c r="A30" s="11">
        <v>0.28000000000000003</v>
      </c>
      <c r="B30" s="12" t="s">
        <v>171</v>
      </c>
      <c r="C30" s="13">
        <v>1.1122685185185185E-2</v>
      </c>
      <c r="D30" s="14" t="s">
        <v>651</v>
      </c>
      <c r="F30" s="5" t="s">
        <v>774</v>
      </c>
      <c r="G30" s="44">
        <f>VALUE(LEFT((VLOOKUP(G8,$A$2:$D$102,4,FALSE)),LEN((VLOOKUP(G8,$A$2:$D$102,4,FALSE)))-4))</f>
        <v>64</v>
      </c>
      <c r="H30" s="49"/>
    </row>
    <row r="31" spans="1:8" x14ac:dyDescent="0.35">
      <c r="A31" s="11">
        <v>0.28999999999999998</v>
      </c>
      <c r="B31" s="12" t="s">
        <v>171</v>
      </c>
      <c r="C31" s="13">
        <v>1.1307870370370371E-2</v>
      </c>
      <c r="D31" s="14" t="s">
        <v>652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44.800000000000004</v>
      </c>
      <c r="H31" s="49"/>
    </row>
    <row r="32" spans="1:8" x14ac:dyDescent="0.35">
      <c r="A32" s="11">
        <v>0.3</v>
      </c>
      <c r="B32" s="12" t="s">
        <v>171</v>
      </c>
      <c r="C32" s="13">
        <v>1.1493055555555555E-2</v>
      </c>
      <c r="D32" s="14" t="s">
        <v>28</v>
      </c>
      <c r="F32" s="5" t="s">
        <v>775</v>
      </c>
      <c r="G32" s="44">
        <f>(G21-G19)*G31</f>
        <v>263.2361809045226</v>
      </c>
      <c r="H32" s="2"/>
    </row>
    <row r="33" spans="1:8" x14ac:dyDescent="0.35">
      <c r="A33" s="11">
        <v>0.31</v>
      </c>
      <c r="B33" s="12" t="s">
        <v>171</v>
      </c>
      <c r="C33" s="13">
        <v>1.1678240740740741E-2</v>
      </c>
      <c r="D33" s="14" t="s">
        <v>165</v>
      </c>
      <c r="F33" s="30" t="s">
        <v>776</v>
      </c>
      <c r="G33" s="45">
        <f>G30*G11</f>
        <v>10.8416</v>
      </c>
      <c r="H33" s="49"/>
    </row>
    <row r="34" spans="1:8" x14ac:dyDescent="0.35">
      <c r="A34" s="11">
        <v>0.32</v>
      </c>
      <c r="B34" s="12" t="s">
        <v>171</v>
      </c>
      <c r="C34" s="13">
        <v>1.1851851851851851E-2</v>
      </c>
      <c r="D34" s="14" t="s">
        <v>167</v>
      </c>
      <c r="F34" s="30" t="s">
        <v>777</v>
      </c>
      <c r="G34" s="45">
        <f>G32*G12</f>
        <v>121.0886432160804</v>
      </c>
      <c r="H34" s="29"/>
    </row>
    <row r="35" spans="1:8" x14ac:dyDescent="0.35">
      <c r="A35" s="11">
        <v>0.33</v>
      </c>
      <c r="B35" s="12" t="s">
        <v>171</v>
      </c>
      <c r="C35" s="13">
        <v>1.2037037037037035E-2</v>
      </c>
      <c r="D35" s="14" t="s">
        <v>653</v>
      </c>
      <c r="F35" s="30" t="s">
        <v>778</v>
      </c>
      <c r="G35" s="67">
        <f>SUM(G33:G34)</f>
        <v>131.93024321608038</v>
      </c>
      <c r="H35" s="49"/>
    </row>
    <row r="36" spans="1:8" x14ac:dyDescent="0.35">
      <c r="A36" s="11">
        <v>0.34</v>
      </c>
      <c r="B36" s="12" t="s">
        <v>181</v>
      </c>
      <c r="C36" s="13">
        <v>1.2233796296296296E-2</v>
      </c>
      <c r="D36" s="14" t="s">
        <v>654</v>
      </c>
      <c r="F36" s="49"/>
      <c r="G36" s="49"/>
      <c r="H36" s="49"/>
    </row>
    <row r="37" spans="1:8" x14ac:dyDescent="0.35">
      <c r="A37" s="11">
        <v>0.35</v>
      </c>
      <c r="B37" s="12" t="s">
        <v>181</v>
      </c>
      <c r="C37" s="13">
        <v>1.2430555555555554E-2</v>
      </c>
      <c r="D37" s="14" t="s">
        <v>33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181</v>
      </c>
      <c r="C38" s="13">
        <v>1.2627314814814815E-2</v>
      </c>
      <c r="D38" s="14" t="s">
        <v>323</v>
      </c>
      <c r="F38" s="30" t="str">
        <f>"Fuel Efficiency @"&amp;$G$6&amp; "mph (Miles/kWh)"</f>
        <v>Fuel Efficiency @70mph (Miles/kWh)</v>
      </c>
      <c r="G38" s="66">
        <f>($J$4*($G$10-$G$9))/$G$31</f>
        <v>3.109375</v>
      </c>
      <c r="H38" s="49"/>
    </row>
    <row r="39" spans="1:8" x14ac:dyDescent="0.35">
      <c r="A39" s="11">
        <v>0.37</v>
      </c>
      <c r="B39" s="12" t="s">
        <v>322</v>
      </c>
      <c r="C39" s="13">
        <v>1.283564814814815E-2</v>
      </c>
      <c r="D39" s="14" t="s">
        <v>174</v>
      </c>
      <c r="F39" s="30" t="str">
        <f>"Fuel Efficiency @"&amp;$G$6&amp; "mph (kWh/100 mi)"</f>
        <v>Fuel Efficiency @70mph (kWh/100 mi)</v>
      </c>
      <c r="G39" s="66">
        <f>(1/G38)*100</f>
        <v>32.1608040201005</v>
      </c>
      <c r="H39" s="49"/>
    </row>
    <row r="40" spans="1:8" x14ac:dyDescent="0.35">
      <c r="A40" s="11">
        <v>0.38</v>
      </c>
      <c r="B40" s="12" t="s">
        <v>322</v>
      </c>
      <c r="C40" s="13">
        <v>1.3032407407407407E-2</v>
      </c>
      <c r="D40" s="14" t="s">
        <v>655</v>
      </c>
      <c r="F40" s="23"/>
      <c r="G40" s="23"/>
      <c r="H40" s="49"/>
    </row>
    <row r="41" spans="1:8" x14ac:dyDescent="0.35">
      <c r="A41" s="11">
        <v>0.39</v>
      </c>
      <c r="B41" s="12" t="s">
        <v>193</v>
      </c>
      <c r="C41" s="13">
        <v>1.324074074074074E-2</v>
      </c>
      <c r="D41" s="14" t="s">
        <v>656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193</v>
      </c>
      <c r="C42" s="13">
        <v>1.3460648148148147E-2</v>
      </c>
      <c r="D42" s="14" t="s">
        <v>35</v>
      </c>
      <c r="F42" s="30" t="s">
        <v>790</v>
      </c>
      <c r="G42" s="66" cm="1">
        <f t="array" ref="G42">AVERAGE(VALUE(LEFT(B12:B82, LEN(B12:B82) - 3)))</f>
        <v>110.40845070422536</v>
      </c>
      <c r="H42" s="49"/>
    </row>
    <row r="43" spans="1:8" x14ac:dyDescent="0.35">
      <c r="A43" s="11">
        <v>0.41</v>
      </c>
      <c r="B43" s="12" t="s">
        <v>332</v>
      </c>
      <c r="C43" s="13">
        <v>1.3692129629629629E-2</v>
      </c>
      <c r="D43" s="14" t="s">
        <v>428</v>
      </c>
      <c r="F43" s="49"/>
      <c r="G43" s="49"/>
      <c r="H43" s="49"/>
    </row>
    <row r="44" spans="1:8" x14ac:dyDescent="0.35">
      <c r="A44" s="11">
        <v>0.42</v>
      </c>
      <c r="B44" s="12" t="s">
        <v>332</v>
      </c>
      <c r="C44" s="13">
        <v>1.3912037037037037E-2</v>
      </c>
      <c r="D44" s="14" t="s">
        <v>182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332</v>
      </c>
      <c r="C45" s="13">
        <v>1.4131944444444445E-2</v>
      </c>
      <c r="D45" s="14" t="s">
        <v>657</v>
      </c>
      <c r="F45" s="21" t="s">
        <v>118</v>
      </c>
      <c r="G45" s="31">
        <f>ROUNDUP(G21,0)*G4</f>
        <v>17.5</v>
      </c>
      <c r="H45" s="49"/>
    </row>
    <row r="46" spans="1:8" x14ac:dyDescent="0.35">
      <c r="A46" s="11">
        <v>0.44</v>
      </c>
      <c r="B46" s="12" t="s">
        <v>346</v>
      </c>
      <c r="C46" s="13">
        <v>1.4363425925925925E-2</v>
      </c>
      <c r="D46" s="14" t="s">
        <v>658</v>
      </c>
      <c r="F46" s="30" t="s">
        <v>119</v>
      </c>
      <c r="G46" s="32">
        <f>G3+G45</f>
        <v>1017.5</v>
      </c>
      <c r="H46" s="49"/>
    </row>
    <row r="47" spans="1:8" x14ac:dyDescent="0.35">
      <c r="A47" s="11">
        <v>0.45</v>
      </c>
      <c r="B47" s="12" t="s">
        <v>346</v>
      </c>
      <c r="C47" s="13">
        <v>1.4618055555555556E-2</v>
      </c>
      <c r="D47" s="14" t="s">
        <v>40</v>
      </c>
      <c r="F47" s="21" t="s">
        <v>121</v>
      </c>
      <c r="G47" s="31">
        <f>(J4*G8)</f>
        <v>199</v>
      </c>
      <c r="H47" s="49"/>
    </row>
    <row r="48" spans="1:8" x14ac:dyDescent="0.35">
      <c r="A48" s="11">
        <v>0.46</v>
      </c>
      <c r="B48" s="12" t="s">
        <v>346</v>
      </c>
      <c r="C48" s="13">
        <v>1.486111111111111E-2</v>
      </c>
      <c r="D48" s="14" t="s">
        <v>508</v>
      </c>
      <c r="F48" s="5" t="s">
        <v>120</v>
      </c>
      <c r="G48" s="32">
        <f>G46-G47</f>
        <v>818.5</v>
      </c>
      <c r="H48" s="49"/>
    </row>
    <row r="49" spans="1:8" x14ac:dyDescent="0.35">
      <c r="A49" s="11">
        <v>0.47</v>
      </c>
      <c r="B49" s="12" t="s">
        <v>346</v>
      </c>
      <c r="C49" s="13">
        <v>1.511574074074074E-2</v>
      </c>
      <c r="D49" s="14" t="s">
        <v>659</v>
      </c>
      <c r="F49" s="21" t="s">
        <v>123</v>
      </c>
      <c r="G49" s="31">
        <f>G21*(J4*(G10-G9))</f>
        <v>843.49999999999989</v>
      </c>
      <c r="H49" s="49"/>
    </row>
    <row r="50" spans="1:8" x14ac:dyDescent="0.35">
      <c r="A50" s="11">
        <v>0.48</v>
      </c>
      <c r="B50" s="12" t="s">
        <v>68</v>
      </c>
      <c r="C50" s="13">
        <v>1.5381944444444443E-2</v>
      </c>
      <c r="D50" s="14" t="s">
        <v>660</v>
      </c>
      <c r="F50" s="30" t="s">
        <v>122</v>
      </c>
      <c r="G50" s="32">
        <f>ABS(G48-G49)</f>
        <v>24.999999999999886</v>
      </c>
      <c r="H50" s="49"/>
    </row>
    <row r="51" spans="1:8" x14ac:dyDescent="0.35">
      <c r="A51" s="11">
        <v>0.49</v>
      </c>
      <c r="B51" s="12" t="s">
        <v>68</v>
      </c>
      <c r="C51" s="13">
        <v>1.5671296296296298E-2</v>
      </c>
      <c r="D51" s="14" t="s">
        <v>336</v>
      </c>
    </row>
    <row r="52" spans="1:8" x14ac:dyDescent="0.35">
      <c r="A52" s="11">
        <v>0.5</v>
      </c>
      <c r="B52" s="12" t="s">
        <v>213</v>
      </c>
      <c r="C52" s="13">
        <v>1.5949074074074074E-2</v>
      </c>
      <c r="D52" s="14" t="s">
        <v>43</v>
      </c>
    </row>
    <row r="53" spans="1:8" x14ac:dyDescent="0.35">
      <c r="A53" s="11">
        <v>0.51</v>
      </c>
      <c r="B53" s="12" t="s">
        <v>213</v>
      </c>
      <c r="C53" s="13">
        <v>1.6238425925925924E-2</v>
      </c>
      <c r="D53" s="14" t="s">
        <v>592</v>
      </c>
    </row>
    <row r="54" spans="1:8" x14ac:dyDescent="0.35">
      <c r="A54" s="11">
        <v>0.52</v>
      </c>
      <c r="B54" s="12" t="s">
        <v>213</v>
      </c>
      <c r="C54" s="13">
        <v>1.6527777777777777E-2</v>
      </c>
      <c r="D54" s="14" t="s">
        <v>593</v>
      </c>
    </row>
    <row r="55" spans="1:8" x14ac:dyDescent="0.35">
      <c r="A55" s="11">
        <v>0.53</v>
      </c>
      <c r="B55" s="12" t="s">
        <v>661</v>
      </c>
      <c r="C55" s="13">
        <v>1.6828703703703703E-2</v>
      </c>
      <c r="D55" s="14" t="s">
        <v>434</v>
      </c>
    </row>
    <row r="56" spans="1:8" x14ac:dyDescent="0.35">
      <c r="A56" s="11">
        <v>0.54</v>
      </c>
      <c r="B56" s="12" t="s">
        <v>662</v>
      </c>
      <c r="C56" s="13">
        <v>1.7164351851851851E-2</v>
      </c>
      <c r="D56" s="14" t="s">
        <v>435</v>
      </c>
    </row>
    <row r="57" spans="1:8" x14ac:dyDescent="0.35">
      <c r="A57" s="11">
        <v>0.55000000000000004</v>
      </c>
      <c r="B57" s="12" t="s">
        <v>662</v>
      </c>
      <c r="C57" s="13">
        <v>1.7488425925925925E-2</v>
      </c>
      <c r="D57" s="14" t="s">
        <v>44</v>
      </c>
    </row>
    <row r="58" spans="1:8" x14ac:dyDescent="0.35">
      <c r="A58" s="11">
        <v>0.56000000000000005</v>
      </c>
      <c r="B58" s="12" t="s">
        <v>662</v>
      </c>
      <c r="C58" s="13">
        <v>1.7824074074074076E-2</v>
      </c>
      <c r="D58" s="14" t="s">
        <v>663</v>
      </c>
    </row>
    <row r="59" spans="1:8" x14ac:dyDescent="0.35">
      <c r="A59" s="11">
        <v>0.56999999999999995</v>
      </c>
      <c r="B59" s="12" t="s">
        <v>662</v>
      </c>
      <c r="C59" s="13">
        <v>1.8148148148148146E-2</v>
      </c>
      <c r="D59" s="14" t="s">
        <v>664</v>
      </c>
    </row>
    <row r="60" spans="1:8" x14ac:dyDescent="0.35">
      <c r="A60" s="11">
        <v>0.57999999999999996</v>
      </c>
      <c r="B60" s="12" t="s">
        <v>244</v>
      </c>
      <c r="C60" s="13">
        <v>1.8506944444444444E-2</v>
      </c>
      <c r="D60" s="14" t="s">
        <v>206</v>
      </c>
    </row>
    <row r="61" spans="1:8" x14ac:dyDescent="0.35">
      <c r="A61" s="11">
        <v>0.59</v>
      </c>
      <c r="B61" s="12" t="s">
        <v>74</v>
      </c>
      <c r="C61" s="13">
        <v>1.8900462962962963E-2</v>
      </c>
      <c r="D61" s="14" t="s">
        <v>665</v>
      </c>
    </row>
    <row r="62" spans="1:8" x14ac:dyDescent="0.35">
      <c r="A62" s="11">
        <v>0.6</v>
      </c>
      <c r="B62" s="12" t="s">
        <v>74</v>
      </c>
      <c r="C62" s="13">
        <v>1.9293981481481485E-2</v>
      </c>
      <c r="D62" s="14" t="s">
        <v>46</v>
      </c>
    </row>
    <row r="63" spans="1:8" x14ac:dyDescent="0.35">
      <c r="A63" s="11">
        <v>0.61</v>
      </c>
      <c r="B63" s="12" t="s">
        <v>74</v>
      </c>
      <c r="C63" s="13">
        <v>1.96875E-2</v>
      </c>
      <c r="D63" s="14" t="s">
        <v>666</v>
      </c>
    </row>
    <row r="64" spans="1:8" x14ac:dyDescent="0.35">
      <c r="A64" s="11">
        <v>0.62</v>
      </c>
      <c r="B64" s="12" t="s">
        <v>74</v>
      </c>
      <c r="C64" s="13">
        <v>2.0081018518518519E-2</v>
      </c>
      <c r="D64" s="14" t="s">
        <v>667</v>
      </c>
    </row>
    <row r="65" spans="1:4" x14ac:dyDescent="0.35">
      <c r="A65" s="11">
        <v>0.63</v>
      </c>
      <c r="B65" s="12" t="s">
        <v>74</v>
      </c>
      <c r="C65" s="13">
        <v>2.0474537037037038E-2</v>
      </c>
      <c r="D65" s="14" t="s">
        <v>212</v>
      </c>
    </row>
    <row r="66" spans="1:4" x14ac:dyDescent="0.35">
      <c r="A66" s="11">
        <v>0.64</v>
      </c>
      <c r="B66" s="12" t="s">
        <v>241</v>
      </c>
      <c r="C66" s="13">
        <v>2.0868055555555556E-2</v>
      </c>
      <c r="D66" s="14" t="s">
        <v>668</v>
      </c>
    </row>
    <row r="67" spans="1:4" x14ac:dyDescent="0.35">
      <c r="A67" s="11">
        <v>0.65</v>
      </c>
      <c r="B67" s="12" t="s">
        <v>241</v>
      </c>
      <c r="C67" s="13">
        <v>2.1250000000000002E-2</v>
      </c>
      <c r="D67" s="14" t="s">
        <v>50</v>
      </c>
    </row>
    <row r="68" spans="1:4" x14ac:dyDescent="0.35">
      <c r="A68" s="11">
        <v>0.66</v>
      </c>
      <c r="B68" s="12" t="s">
        <v>74</v>
      </c>
      <c r="C68" s="13">
        <v>2.164351851851852E-2</v>
      </c>
      <c r="D68" s="14" t="s">
        <v>602</v>
      </c>
    </row>
    <row r="69" spans="1:4" x14ac:dyDescent="0.35">
      <c r="A69" s="11">
        <v>0.67</v>
      </c>
      <c r="B69" s="12" t="s">
        <v>241</v>
      </c>
      <c r="C69" s="13">
        <v>2.2037037037037036E-2</v>
      </c>
      <c r="D69" s="14" t="s">
        <v>604</v>
      </c>
    </row>
    <row r="70" spans="1:4" x14ac:dyDescent="0.35">
      <c r="A70" s="11">
        <v>0.68</v>
      </c>
      <c r="B70" s="12" t="s">
        <v>76</v>
      </c>
      <c r="C70" s="13">
        <v>2.2442129629629631E-2</v>
      </c>
      <c r="D70" s="14" t="s">
        <v>669</v>
      </c>
    </row>
    <row r="71" spans="1:4" x14ac:dyDescent="0.35">
      <c r="A71" s="11">
        <v>0.69</v>
      </c>
      <c r="B71" s="12" t="s">
        <v>76</v>
      </c>
      <c r="C71" s="13">
        <v>2.2870370370370371E-2</v>
      </c>
      <c r="D71" s="14" t="s">
        <v>222</v>
      </c>
    </row>
    <row r="72" spans="1:4" x14ac:dyDescent="0.35">
      <c r="A72" s="11">
        <v>0.7</v>
      </c>
      <c r="B72" s="12" t="s">
        <v>76</v>
      </c>
      <c r="C72" s="13">
        <v>2.3298611111111107E-2</v>
      </c>
      <c r="D72" s="14" t="s">
        <v>53</v>
      </c>
    </row>
    <row r="73" spans="1:4" x14ac:dyDescent="0.35">
      <c r="A73" s="11">
        <v>0.71</v>
      </c>
      <c r="B73" s="12" t="s">
        <v>465</v>
      </c>
      <c r="C73" s="13">
        <v>2.372685185185185E-2</v>
      </c>
      <c r="D73" s="14" t="s">
        <v>446</v>
      </c>
    </row>
    <row r="74" spans="1:4" x14ac:dyDescent="0.35">
      <c r="A74" s="11">
        <v>0.72</v>
      </c>
      <c r="B74" s="12" t="s">
        <v>465</v>
      </c>
      <c r="C74" s="13">
        <v>2.4143518518518519E-2</v>
      </c>
      <c r="D74" s="14" t="s">
        <v>670</v>
      </c>
    </row>
    <row r="75" spans="1:4" x14ac:dyDescent="0.35">
      <c r="A75" s="11">
        <v>0.73</v>
      </c>
      <c r="B75" s="12" t="s">
        <v>76</v>
      </c>
      <c r="C75" s="13">
        <v>2.4571759259259262E-2</v>
      </c>
      <c r="D75" s="14" t="s">
        <v>671</v>
      </c>
    </row>
    <row r="76" spans="1:4" x14ac:dyDescent="0.35">
      <c r="A76" s="11">
        <v>0.74</v>
      </c>
      <c r="B76" s="12" t="s">
        <v>465</v>
      </c>
      <c r="C76" s="13">
        <v>2.4988425925925928E-2</v>
      </c>
      <c r="D76" s="14" t="s">
        <v>229</v>
      </c>
    </row>
    <row r="77" spans="1:4" x14ac:dyDescent="0.35">
      <c r="A77" s="11">
        <v>0.75</v>
      </c>
      <c r="B77" s="12" t="s">
        <v>258</v>
      </c>
      <c r="C77" s="13">
        <v>2.5439814814814814E-2</v>
      </c>
      <c r="D77" s="14" t="s">
        <v>54</v>
      </c>
    </row>
    <row r="78" spans="1:4" x14ac:dyDescent="0.35">
      <c r="A78" s="11">
        <v>0.76</v>
      </c>
      <c r="B78" s="12" t="s">
        <v>78</v>
      </c>
      <c r="C78" s="13">
        <v>2.5914351851851855E-2</v>
      </c>
      <c r="D78" s="14" t="s">
        <v>672</v>
      </c>
    </row>
    <row r="79" spans="1:4" x14ac:dyDescent="0.35">
      <c r="A79" s="11">
        <v>0.77</v>
      </c>
      <c r="B79" s="12" t="s">
        <v>258</v>
      </c>
      <c r="C79" s="13">
        <v>2.6388888888888889E-2</v>
      </c>
      <c r="D79" s="14" t="s">
        <v>353</v>
      </c>
    </row>
    <row r="80" spans="1:4" x14ac:dyDescent="0.35">
      <c r="A80" s="11">
        <v>0.78</v>
      </c>
      <c r="B80" s="12" t="s">
        <v>258</v>
      </c>
      <c r="C80" s="13">
        <v>2.6851851851851849E-2</v>
      </c>
      <c r="D80" s="14" t="s">
        <v>673</v>
      </c>
    </row>
    <row r="81" spans="1:4" x14ac:dyDescent="0.35">
      <c r="A81" s="11">
        <v>0.79</v>
      </c>
      <c r="B81" s="12" t="s">
        <v>258</v>
      </c>
      <c r="C81" s="13">
        <v>2.732638888888889E-2</v>
      </c>
      <c r="D81" s="14" t="s">
        <v>236</v>
      </c>
    </row>
    <row r="82" spans="1:4" x14ac:dyDescent="0.35">
      <c r="A82" s="11">
        <v>0.8</v>
      </c>
      <c r="B82" s="12" t="s">
        <v>270</v>
      </c>
      <c r="C82" s="13">
        <v>2.7905092592592592E-2</v>
      </c>
      <c r="D82" s="14" t="s">
        <v>57</v>
      </c>
    </row>
    <row r="83" spans="1:4" x14ac:dyDescent="0.35">
      <c r="A83" s="11">
        <v>0.81</v>
      </c>
      <c r="B83" s="12" t="s">
        <v>270</v>
      </c>
      <c r="C83" s="13">
        <v>2.8657407407407406E-2</v>
      </c>
      <c r="D83" s="14" t="s">
        <v>357</v>
      </c>
    </row>
    <row r="84" spans="1:4" x14ac:dyDescent="0.35">
      <c r="A84" s="11">
        <v>0.82</v>
      </c>
      <c r="B84" s="12" t="s">
        <v>270</v>
      </c>
      <c r="C84" s="13">
        <v>2.9409722222222223E-2</v>
      </c>
      <c r="D84" s="14" t="s">
        <v>615</v>
      </c>
    </row>
    <row r="85" spans="1:4" x14ac:dyDescent="0.35">
      <c r="A85" s="11">
        <v>0.83</v>
      </c>
      <c r="B85" s="12" t="s">
        <v>86</v>
      </c>
      <c r="C85" s="13">
        <v>3.0162037037037032E-2</v>
      </c>
      <c r="D85" s="14" t="s">
        <v>455</v>
      </c>
    </row>
    <row r="86" spans="1:4" x14ac:dyDescent="0.35">
      <c r="A86" s="11">
        <v>0.84</v>
      </c>
      <c r="B86" s="12" t="s">
        <v>86</v>
      </c>
      <c r="C86" s="13">
        <v>3.0891203703703702E-2</v>
      </c>
      <c r="D86" s="14" t="s">
        <v>674</v>
      </c>
    </row>
    <row r="87" spans="1:4" x14ac:dyDescent="0.35">
      <c r="A87" s="11">
        <v>0.85</v>
      </c>
      <c r="B87" s="12" t="s">
        <v>86</v>
      </c>
      <c r="C87" s="13">
        <v>3.1631944444444442E-2</v>
      </c>
      <c r="D87" s="14" t="s">
        <v>60</v>
      </c>
    </row>
    <row r="88" spans="1:4" x14ac:dyDescent="0.35">
      <c r="A88" s="11">
        <v>0.86</v>
      </c>
      <c r="B88" s="12" t="s">
        <v>86</v>
      </c>
      <c r="C88" s="13">
        <v>3.2361111111111111E-2</v>
      </c>
      <c r="D88" s="14" t="s">
        <v>675</v>
      </c>
    </row>
    <row r="89" spans="1:4" x14ac:dyDescent="0.35">
      <c r="A89" s="11">
        <v>0.87</v>
      </c>
      <c r="B89" s="12" t="s">
        <v>676</v>
      </c>
      <c r="C89" s="13">
        <v>3.3252314814814811E-2</v>
      </c>
      <c r="D89" s="14" t="s">
        <v>677</v>
      </c>
    </row>
    <row r="90" spans="1:4" x14ac:dyDescent="0.35">
      <c r="A90" s="11">
        <v>0.88</v>
      </c>
      <c r="B90" s="12" t="s">
        <v>676</v>
      </c>
      <c r="C90" s="13">
        <v>3.4351851851851849E-2</v>
      </c>
      <c r="D90" s="14" t="s">
        <v>678</v>
      </c>
    </row>
    <row r="91" spans="1:4" x14ac:dyDescent="0.35">
      <c r="A91" s="11">
        <v>0.89</v>
      </c>
      <c r="B91" s="12" t="s">
        <v>676</v>
      </c>
      <c r="C91" s="13">
        <v>3.5451388888888886E-2</v>
      </c>
      <c r="D91" s="14" t="s">
        <v>362</v>
      </c>
    </row>
    <row r="92" spans="1:4" x14ac:dyDescent="0.35">
      <c r="A92" s="11">
        <v>0.9</v>
      </c>
      <c r="B92" s="12" t="s">
        <v>676</v>
      </c>
      <c r="C92" s="13">
        <v>3.6550925925925924E-2</v>
      </c>
      <c r="D92" s="14" t="s">
        <v>65</v>
      </c>
    </row>
    <row r="93" spans="1:4" x14ac:dyDescent="0.35">
      <c r="A93" s="11">
        <v>0.91</v>
      </c>
      <c r="B93" s="12" t="s">
        <v>676</v>
      </c>
      <c r="C93" s="13">
        <v>3.7662037037037036E-2</v>
      </c>
      <c r="D93" s="14" t="s">
        <v>679</v>
      </c>
    </row>
    <row r="94" spans="1:4" x14ac:dyDescent="0.35">
      <c r="A94" s="11">
        <v>0.92</v>
      </c>
      <c r="B94" s="12" t="s">
        <v>676</v>
      </c>
      <c r="C94" s="13">
        <v>3.876157407407408E-2</v>
      </c>
      <c r="D94" s="14" t="s">
        <v>528</v>
      </c>
    </row>
    <row r="95" spans="1:4" x14ac:dyDescent="0.35">
      <c r="A95" s="11">
        <v>0.93</v>
      </c>
      <c r="B95" s="12" t="s">
        <v>676</v>
      </c>
      <c r="C95" s="13">
        <v>3.9861111111111111E-2</v>
      </c>
      <c r="D95" s="14" t="s">
        <v>365</v>
      </c>
    </row>
    <row r="96" spans="1:4" x14ac:dyDescent="0.35">
      <c r="A96" s="11">
        <v>0.94</v>
      </c>
      <c r="B96" s="12" t="s">
        <v>676</v>
      </c>
      <c r="C96" s="13">
        <v>4.0972222222222222E-2</v>
      </c>
      <c r="D96" s="14" t="s">
        <v>680</v>
      </c>
    </row>
    <row r="97" spans="1:4" x14ac:dyDescent="0.35">
      <c r="A97" s="11">
        <v>0.95</v>
      </c>
      <c r="B97" s="12" t="s">
        <v>676</v>
      </c>
      <c r="C97" s="13">
        <v>4.207175925925926E-2</v>
      </c>
      <c r="D97" s="14" t="s">
        <v>69</v>
      </c>
    </row>
    <row r="98" spans="1:4" x14ac:dyDescent="0.35">
      <c r="A98" s="11">
        <v>0.96</v>
      </c>
      <c r="B98" s="12" t="s">
        <v>676</v>
      </c>
      <c r="C98" s="13">
        <v>4.3171296296296298E-2</v>
      </c>
      <c r="D98" s="14" t="s">
        <v>623</v>
      </c>
    </row>
    <row r="99" spans="1:4" x14ac:dyDescent="0.35">
      <c r="A99" s="11">
        <v>0.97</v>
      </c>
      <c r="B99" s="12" t="s">
        <v>632</v>
      </c>
      <c r="C99" s="13">
        <v>4.4537037037037042E-2</v>
      </c>
      <c r="D99" s="14" t="s">
        <v>681</v>
      </c>
    </row>
    <row r="100" spans="1:4" x14ac:dyDescent="0.35">
      <c r="A100" s="11">
        <v>0.98</v>
      </c>
      <c r="B100" s="12" t="s">
        <v>632</v>
      </c>
      <c r="C100" s="13">
        <v>4.6331018518518514E-2</v>
      </c>
      <c r="D100" s="14" t="s">
        <v>682</v>
      </c>
    </row>
    <row r="101" spans="1:4" x14ac:dyDescent="0.35">
      <c r="A101" s="11">
        <v>0.99</v>
      </c>
      <c r="B101" s="12" t="s">
        <v>632</v>
      </c>
      <c r="C101" s="13">
        <v>4.8125000000000001E-2</v>
      </c>
      <c r="D101" s="14" t="s">
        <v>683</v>
      </c>
    </row>
    <row r="102" spans="1:4" ht="15" thickBot="1" x14ac:dyDescent="0.4">
      <c r="A102" s="15">
        <v>1</v>
      </c>
      <c r="B102" s="16" t="s">
        <v>684</v>
      </c>
      <c r="C102" s="17">
        <v>5.0509259259259254E-2</v>
      </c>
      <c r="D102" s="18" t="s">
        <v>77</v>
      </c>
    </row>
    <row r="103" spans="1:4" x14ac:dyDescent="0.35">
      <c r="D10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4055-4188-4B6C-B91C-646BAC3A657F}">
  <dimension ref="A1:J103"/>
  <sheetViews>
    <sheetView topLeftCell="A17" workbookViewId="0">
      <selection activeCell="F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0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330</v>
      </c>
      <c r="C3" s="13">
        <v>3.7037037037037035E-4</v>
      </c>
      <c r="D3" s="14" t="s">
        <v>3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399</v>
      </c>
    </row>
    <row r="4" spans="1:10" ht="15" thickBot="1" x14ac:dyDescent="0.4">
      <c r="A4" s="11">
        <v>0.02</v>
      </c>
      <c r="B4" s="12" t="s">
        <v>330</v>
      </c>
      <c r="C4" s="13">
        <v>6.3657407407407402E-4</v>
      </c>
      <c r="D4" s="14" t="s">
        <v>402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239</v>
      </c>
    </row>
    <row r="5" spans="1:10" ht="15" thickBot="1" x14ac:dyDescent="0.4">
      <c r="A5" s="11">
        <v>0.03</v>
      </c>
      <c r="B5" s="12" t="s">
        <v>330</v>
      </c>
      <c r="C5" s="13">
        <v>9.0277777777777784E-4</v>
      </c>
      <c r="D5" s="14" t="s">
        <v>403</v>
      </c>
      <c r="F5" s="21" t="s">
        <v>98</v>
      </c>
      <c r="G5" s="38">
        <f>Summary!H4</f>
        <v>25</v>
      </c>
      <c r="H5" s="23"/>
      <c r="I5" s="6" t="s">
        <v>108</v>
      </c>
      <c r="J5" s="20" t="s">
        <v>400</v>
      </c>
    </row>
    <row r="6" spans="1:10" ht="15" thickBot="1" x14ac:dyDescent="0.4">
      <c r="A6" s="11">
        <v>0.04</v>
      </c>
      <c r="B6" s="12" t="s">
        <v>330</v>
      </c>
      <c r="C6" s="13">
        <v>1.1689814814814816E-3</v>
      </c>
      <c r="D6" s="14" t="s">
        <v>404</v>
      </c>
      <c r="F6" s="21" t="s">
        <v>97</v>
      </c>
      <c r="G6" s="38">
        <f>Summary!H5</f>
        <v>70</v>
      </c>
      <c r="H6" s="23"/>
      <c r="I6" s="6" t="s">
        <v>106</v>
      </c>
      <c r="J6" s="20" t="s">
        <v>401</v>
      </c>
    </row>
    <row r="7" spans="1:10" x14ac:dyDescent="0.35">
      <c r="A7" s="11">
        <v>0.05</v>
      </c>
      <c r="B7" s="12" t="s">
        <v>330</v>
      </c>
      <c r="C7" s="13">
        <v>1.423611111111111E-3</v>
      </c>
      <c r="D7" s="14" t="s">
        <v>405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189</v>
      </c>
      <c r="C8" s="13">
        <v>1.689814814814815E-3</v>
      </c>
      <c r="D8" s="14" t="s">
        <v>406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189</v>
      </c>
      <c r="C9" s="13">
        <v>1.9560185185185184E-3</v>
      </c>
      <c r="D9" s="14" t="s">
        <v>407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239</v>
      </c>
    </row>
    <row r="10" spans="1:10" x14ac:dyDescent="0.35">
      <c r="A10" s="11">
        <v>0.08</v>
      </c>
      <c r="B10" s="12" t="s">
        <v>189</v>
      </c>
      <c r="C10" s="13">
        <v>2.2106481481481478E-3</v>
      </c>
      <c r="D10" s="14" t="s">
        <v>408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3.1038961038961044</v>
      </c>
    </row>
    <row r="11" spans="1:10" x14ac:dyDescent="0.35">
      <c r="A11" s="11">
        <v>0.09</v>
      </c>
      <c r="B11" s="12" t="s">
        <v>329</v>
      </c>
      <c r="C11" s="13">
        <v>2.4768518518518516E-3</v>
      </c>
      <c r="D11" s="14" t="s">
        <v>409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125.04225352112677</v>
      </c>
    </row>
    <row r="12" spans="1:10" x14ac:dyDescent="0.35">
      <c r="A12" s="11">
        <v>0.1</v>
      </c>
      <c r="B12" s="12" t="s">
        <v>410</v>
      </c>
      <c r="C12" s="13">
        <v>2.7314814814814819E-3</v>
      </c>
      <c r="D12" s="14" t="s">
        <v>411</v>
      </c>
      <c r="F12" s="21" t="s">
        <v>772</v>
      </c>
      <c r="G12" s="41">
        <f>Summary!H11</f>
        <v>0.46</v>
      </c>
      <c r="H12" s="49"/>
      <c r="I12" s="28"/>
    </row>
    <row r="13" spans="1:10" x14ac:dyDescent="0.35">
      <c r="A13" s="11">
        <v>0.11</v>
      </c>
      <c r="B13" s="12" t="s">
        <v>328</v>
      </c>
      <c r="C13" s="13">
        <v>2.9861111111111113E-3</v>
      </c>
      <c r="D13" s="14" t="s">
        <v>304</v>
      </c>
      <c r="F13" s="49"/>
      <c r="G13" s="49"/>
      <c r="H13" s="49"/>
      <c r="I13" s="29"/>
    </row>
    <row r="14" spans="1:10" x14ac:dyDescent="0.35">
      <c r="A14" s="11">
        <v>0.12</v>
      </c>
      <c r="B14" s="12" t="s">
        <v>185</v>
      </c>
      <c r="C14" s="13">
        <v>3.2291666666666666E-3</v>
      </c>
      <c r="D14" s="14" t="s">
        <v>412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185</v>
      </c>
      <c r="C15" s="13">
        <v>3.483796296296296E-3</v>
      </c>
      <c r="D15" s="14" t="s">
        <v>413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0.47027777777777768</v>
      </c>
      <c r="H15" s="57">
        <f>G15/24</f>
        <v>1.9594907407407405E-2</v>
      </c>
    </row>
    <row r="16" spans="1:10" x14ac:dyDescent="0.35">
      <c r="A16" s="11">
        <v>0.14000000000000001</v>
      </c>
      <c r="B16" s="12" t="s">
        <v>185</v>
      </c>
      <c r="C16" s="13">
        <v>3.7384259259259263E-3</v>
      </c>
      <c r="D16" s="14" t="s">
        <v>414</v>
      </c>
      <c r="F16" s="49"/>
      <c r="G16" s="49"/>
      <c r="H16" s="49"/>
    </row>
    <row r="17" spans="1:8" x14ac:dyDescent="0.35">
      <c r="A17" s="11">
        <v>0.15</v>
      </c>
      <c r="B17" s="12" t="s">
        <v>301</v>
      </c>
      <c r="C17" s="13">
        <v>3.9814814814814817E-3</v>
      </c>
      <c r="D17" s="14" t="s">
        <v>415</v>
      </c>
      <c r="F17" s="4" t="s">
        <v>694</v>
      </c>
      <c r="G17" s="27" t="s">
        <v>117</v>
      </c>
      <c r="H17" s="49"/>
    </row>
    <row r="18" spans="1:8" x14ac:dyDescent="0.35">
      <c r="A18" s="11">
        <v>0.16</v>
      </c>
      <c r="B18" s="12" t="s">
        <v>325</v>
      </c>
      <c r="C18" s="13">
        <v>4.2245370370370371E-3</v>
      </c>
      <c r="D18" s="14" t="s">
        <v>416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4.5487148834429165</v>
      </c>
      <c r="H18" s="49"/>
    </row>
    <row r="19" spans="1:8" x14ac:dyDescent="0.35">
      <c r="A19" s="11">
        <v>0.17</v>
      </c>
      <c r="B19" s="12" t="s">
        <v>301</v>
      </c>
      <c r="C19" s="13">
        <v>4.4791666666666669E-3</v>
      </c>
      <c r="D19" s="14" t="s">
        <v>417</v>
      </c>
      <c r="F19" s="21" t="str">
        <f>"Number of Charges for "&amp;G5&amp;" Miles Remaing"</f>
        <v>Number of Charges for 25 Miles Remaing</v>
      </c>
      <c r="G19" s="26">
        <f>(G5/((J4*(G10-G9))))</f>
        <v>0.14943215780035862</v>
      </c>
      <c r="H19" s="49"/>
    </row>
    <row r="20" spans="1:8" x14ac:dyDescent="0.35">
      <c r="A20" s="11">
        <v>0.18</v>
      </c>
      <c r="B20" s="12" t="s">
        <v>301</v>
      </c>
      <c r="C20" s="13">
        <v>4.7222222222222223E-3</v>
      </c>
      <c r="D20" s="14" t="s">
        <v>418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7.4716078900179311E-2</v>
      </c>
      <c r="H20" s="49"/>
    </row>
    <row r="21" spans="1:8" x14ac:dyDescent="0.35">
      <c r="A21" s="11">
        <v>0.19</v>
      </c>
      <c r="B21" s="12" t="s">
        <v>183</v>
      </c>
      <c r="C21" s="13">
        <v>4.9652777777777777E-3</v>
      </c>
      <c r="D21" s="14" t="s">
        <v>419</v>
      </c>
      <c r="F21" s="21" t="s">
        <v>770</v>
      </c>
      <c r="G21" s="26">
        <f>SUM(G18:G20)</f>
        <v>4.7728631201434544</v>
      </c>
      <c r="H21" s="49"/>
    </row>
    <row r="22" spans="1:8" x14ac:dyDescent="0.35">
      <c r="A22" s="11">
        <v>0.2</v>
      </c>
      <c r="B22" s="12" t="s">
        <v>185</v>
      </c>
      <c r="C22" s="13">
        <v>5.2199074074074066E-3</v>
      </c>
      <c r="D22" s="14" t="s">
        <v>420</v>
      </c>
      <c r="F22" s="49"/>
      <c r="G22" s="49"/>
      <c r="H22" s="49"/>
    </row>
    <row r="23" spans="1:8" x14ac:dyDescent="0.35">
      <c r="A23" s="11">
        <v>0.21</v>
      </c>
      <c r="B23" s="12" t="s">
        <v>328</v>
      </c>
      <c r="C23" s="13">
        <v>5.4629629629629637E-3</v>
      </c>
      <c r="D23" s="14" t="s">
        <v>312</v>
      </c>
      <c r="F23" s="4" t="s">
        <v>773</v>
      </c>
      <c r="G23" s="27" t="s">
        <v>785</v>
      </c>
      <c r="H23" s="27" t="s">
        <v>786</v>
      </c>
    </row>
    <row r="24" spans="1:8" x14ac:dyDescent="0.35">
      <c r="A24" s="11">
        <v>0.22</v>
      </c>
      <c r="B24" s="12" t="s">
        <v>185</v>
      </c>
      <c r="C24" s="13">
        <v>5.7175925925925927E-3</v>
      </c>
      <c r="D24" s="14" t="s">
        <v>421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8" x14ac:dyDescent="0.35">
      <c r="A25" s="11">
        <v>0.23</v>
      </c>
      <c r="B25" s="12" t="s">
        <v>183</v>
      </c>
      <c r="C25" s="13">
        <v>5.9722222222222225E-3</v>
      </c>
      <c r="D25" s="14" t="s">
        <v>422</v>
      </c>
      <c r="E25" s="1"/>
      <c r="F25" s="34" t="s">
        <v>116</v>
      </c>
      <c r="G25" s="37">
        <f>ROUNDUP(G21,0)*((G4/G7))</f>
        <v>0.41666666666666663</v>
      </c>
      <c r="H25" s="57">
        <f>G25/24</f>
        <v>1.7361111111111108E-2</v>
      </c>
    </row>
    <row r="26" spans="1:8" x14ac:dyDescent="0.35">
      <c r="A26" s="11">
        <v>0.24</v>
      </c>
      <c r="B26" s="12" t="s">
        <v>185</v>
      </c>
      <c r="C26" s="13">
        <v>6.215277777777777E-3</v>
      </c>
      <c r="D26" s="14" t="s">
        <v>423</v>
      </c>
      <c r="F26" s="34" t="s">
        <v>99</v>
      </c>
      <c r="G26" s="37">
        <f>G21*G15</f>
        <v>2.2445714617785741</v>
      </c>
      <c r="H26" s="57">
        <f>G26/24</f>
        <v>9.3523810907440594E-2</v>
      </c>
    </row>
    <row r="27" spans="1:8" x14ac:dyDescent="0.35">
      <c r="A27" s="11">
        <v>0.25</v>
      </c>
      <c r="B27" s="12" t="s">
        <v>183</v>
      </c>
      <c r="C27" s="13">
        <v>6.4699074074074069E-3</v>
      </c>
      <c r="D27" s="14" t="s">
        <v>28</v>
      </c>
      <c r="F27" s="35" t="s">
        <v>112</v>
      </c>
      <c r="G27" s="36">
        <f>SUM(G24:G26)</f>
        <v>16.946952414159526</v>
      </c>
      <c r="H27" s="58">
        <f>G27/24</f>
        <v>0.70612301725664695</v>
      </c>
    </row>
    <row r="28" spans="1:8" x14ac:dyDescent="0.35">
      <c r="A28" s="11">
        <v>0.26</v>
      </c>
      <c r="B28" s="12" t="s">
        <v>185</v>
      </c>
      <c r="C28" s="13">
        <v>6.7129629629629622E-3</v>
      </c>
      <c r="D28" s="14" t="s">
        <v>29</v>
      </c>
      <c r="F28" s="49"/>
      <c r="G28" s="49"/>
      <c r="H28" s="49"/>
    </row>
    <row r="29" spans="1:8" x14ac:dyDescent="0.35">
      <c r="A29" s="11">
        <v>0.27</v>
      </c>
      <c r="B29" s="12" t="s">
        <v>185</v>
      </c>
      <c r="C29" s="13">
        <v>6.9675925925925921E-3</v>
      </c>
      <c r="D29" s="14" t="s">
        <v>31</v>
      </c>
      <c r="F29" s="4" t="s">
        <v>781</v>
      </c>
      <c r="G29" s="27" t="s">
        <v>117</v>
      </c>
      <c r="H29" s="49"/>
    </row>
    <row r="30" spans="1:8" x14ac:dyDescent="0.35">
      <c r="A30" s="11">
        <v>0.28000000000000003</v>
      </c>
      <c r="B30" s="12" t="s">
        <v>185</v>
      </c>
      <c r="C30" s="13">
        <v>7.2106481481481475E-3</v>
      </c>
      <c r="D30" s="14" t="s">
        <v>32</v>
      </c>
      <c r="F30" s="5" t="s">
        <v>774</v>
      </c>
      <c r="G30" s="44">
        <f>VALUE(LEFT((VLOOKUP(G8,$A$2:$D$102,4,FALSE)),LEN((VLOOKUP(G8,$A$2:$D$102,4,FALSE)))-4))</f>
        <v>77</v>
      </c>
      <c r="H30" s="49"/>
    </row>
    <row r="31" spans="1:8" x14ac:dyDescent="0.35">
      <c r="A31" s="11">
        <v>0.28999999999999998</v>
      </c>
      <c r="B31" s="12" t="s">
        <v>328</v>
      </c>
      <c r="C31" s="13">
        <v>7.4652777777777781E-3</v>
      </c>
      <c r="D31" s="14" t="s">
        <v>424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53.9</v>
      </c>
      <c r="H31" s="49"/>
    </row>
    <row r="32" spans="1:8" x14ac:dyDescent="0.35">
      <c r="A32" s="11">
        <v>0.3</v>
      </c>
      <c r="B32" s="12" t="s">
        <v>328</v>
      </c>
      <c r="C32" s="13">
        <v>7.719907407407408E-3</v>
      </c>
      <c r="D32" s="14" t="s">
        <v>425</v>
      </c>
      <c r="F32" s="5" t="s">
        <v>775</v>
      </c>
      <c r="G32" s="44">
        <f>(G21-G19)*G31</f>
        <v>249.20292887029285</v>
      </c>
      <c r="H32" s="2"/>
    </row>
    <row r="33" spans="1:8" x14ac:dyDescent="0.35">
      <c r="A33" s="11">
        <v>0.31</v>
      </c>
      <c r="B33" s="12" t="s">
        <v>187</v>
      </c>
      <c r="C33" s="13">
        <v>7.9745370370370369E-3</v>
      </c>
      <c r="D33" s="14" t="s">
        <v>426</v>
      </c>
      <c r="F33" s="30" t="s">
        <v>776</v>
      </c>
      <c r="G33" s="45">
        <f>G30*G11</f>
        <v>13.043799999999999</v>
      </c>
      <c r="H33" s="49"/>
    </row>
    <row r="34" spans="1:8" x14ac:dyDescent="0.35">
      <c r="A34" s="11">
        <v>0.32</v>
      </c>
      <c r="B34" s="12" t="s">
        <v>187</v>
      </c>
      <c r="C34" s="13">
        <v>8.2291666666666659E-3</v>
      </c>
      <c r="D34" s="14" t="s">
        <v>326</v>
      </c>
      <c r="F34" s="30" t="s">
        <v>777</v>
      </c>
      <c r="G34" s="45">
        <f>G32*G12</f>
        <v>114.63334728033472</v>
      </c>
      <c r="H34" s="29"/>
    </row>
    <row r="35" spans="1:8" x14ac:dyDescent="0.35">
      <c r="A35" s="11">
        <v>0.33</v>
      </c>
      <c r="B35" s="12" t="s">
        <v>187</v>
      </c>
      <c r="C35" s="13">
        <v>8.4837962962962966E-3</v>
      </c>
      <c r="D35" s="14" t="s">
        <v>427</v>
      </c>
      <c r="F35" s="30" t="s">
        <v>778</v>
      </c>
      <c r="G35" s="67">
        <f>SUM(G33:G34)</f>
        <v>127.67714728033472</v>
      </c>
      <c r="H35" s="49"/>
    </row>
    <row r="36" spans="1:8" x14ac:dyDescent="0.35">
      <c r="A36" s="11">
        <v>0.34</v>
      </c>
      <c r="B36" s="12" t="s">
        <v>187</v>
      </c>
      <c r="C36" s="13">
        <v>8.7384259259259255E-3</v>
      </c>
      <c r="D36" s="14" t="s">
        <v>428</v>
      </c>
      <c r="F36" s="49"/>
      <c r="G36" s="49"/>
      <c r="H36" s="49"/>
    </row>
    <row r="37" spans="1:8" x14ac:dyDescent="0.35">
      <c r="A37" s="11">
        <v>0.35</v>
      </c>
      <c r="B37" s="12" t="s">
        <v>410</v>
      </c>
      <c r="C37" s="13">
        <v>8.9930555555555545E-3</v>
      </c>
      <c r="D37" s="14" t="s">
        <v>429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410</v>
      </c>
      <c r="C38" s="13">
        <v>9.2476851851851852E-3</v>
      </c>
      <c r="D38" s="14" t="s">
        <v>430</v>
      </c>
      <c r="F38" s="30" t="str">
        <f>"Fuel Efficiency @"&amp;$G$6&amp; "mph (Miles/kWh)"</f>
        <v>Fuel Efficiency @70mph (Miles/kWh)</v>
      </c>
      <c r="G38" s="66">
        <f>($J$4*($G$10-$G$9))/$G$31</f>
        <v>3.1038961038961044</v>
      </c>
      <c r="H38" s="49"/>
    </row>
    <row r="39" spans="1:8" x14ac:dyDescent="0.35">
      <c r="A39" s="11">
        <v>0.37</v>
      </c>
      <c r="B39" s="12" t="s">
        <v>410</v>
      </c>
      <c r="C39" s="13">
        <v>9.5023148148148159E-3</v>
      </c>
      <c r="D39" s="14" t="s">
        <v>431</v>
      </c>
      <c r="F39" s="30" t="str">
        <f>"Fuel Efficiency @"&amp;$G$6&amp; "mph (kWh/100 mi)"</f>
        <v>Fuel Efficiency @70mph (kWh/100 mi)</v>
      </c>
      <c r="G39" s="66">
        <f>(1/G38)*100</f>
        <v>32.21757322175732</v>
      </c>
      <c r="H39" s="49"/>
    </row>
    <row r="40" spans="1:8" x14ac:dyDescent="0.35">
      <c r="A40" s="11">
        <v>0.38</v>
      </c>
      <c r="B40" s="12" t="s">
        <v>183</v>
      </c>
      <c r="C40" s="13">
        <v>9.7453703703703713E-3</v>
      </c>
      <c r="D40" s="14" t="s">
        <v>432</v>
      </c>
      <c r="F40" s="23"/>
      <c r="G40" s="23"/>
      <c r="H40" s="49"/>
    </row>
    <row r="41" spans="1:8" x14ac:dyDescent="0.35">
      <c r="A41" s="11">
        <v>0.39</v>
      </c>
      <c r="B41" s="12" t="s">
        <v>189</v>
      </c>
      <c r="C41" s="13">
        <v>0.01</v>
      </c>
      <c r="D41" s="14" t="s">
        <v>190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191</v>
      </c>
      <c r="C42" s="13">
        <v>1.0266203703703703E-2</v>
      </c>
      <c r="D42" s="14" t="s">
        <v>192</v>
      </c>
      <c r="F42" s="30" t="s">
        <v>790</v>
      </c>
      <c r="G42" s="66" cm="1">
        <f t="array" ref="G42">AVERAGE(VALUE(LEFT(B12:B82, LEN(B12:B82) - 3)))</f>
        <v>125.04225352112677</v>
      </c>
      <c r="H42" s="49"/>
    </row>
    <row r="43" spans="1:8" x14ac:dyDescent="0.35">
      <c r="A43" s="11">
        <v>0.41</v>
      </c>
      <c r="B43" s="12" t="s">
        <v>193</v>
      </c>
      <c r="C43" s="13">
        <v>1.0532407407407407E-2</v>
      </c>
      <c r="D43" s="14" t="s">
        <v>194</v>
      </c>
      <c r="F43" s="49"/>
      <c r="G43" s="49"/>
      <c r="H43" s="49"/>
    </row>
    <row r="44" spans="1:8" x14ac:dyDescent="0.35">
      <c r="A44" s="11">
        <v>0.42</v>
      </c>
      <c r="B44" s="12" t="s">
        <v>195</v>
      </c>
      <c r="C44" s="13">
        <v>1.0810185185185185E-2</v>
      </c>
      <c r="D44" s="14" t="s">
        <v>337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195</v>
      </c>
      <c r="C45" s="13">
        <v>1.1087962962962964E-2</v>
      </c>
      <c r="D45" s="14" t="s">
        <v>433</v>
      </c>
      <c r="F45" s="21" t="s">
        <v>118</v>
      </c>
      <c r="G45" s="31">
        <f>ROUNDUP(G21,0)*G4</f>
        <v>12.5</v>
      </c>
      <c r="H45" s="49"/>
    </row>
    <row r="46" spans="1:8" x14ac:dyDescent="0.35">
      <c r="A46" s="11">
        <v>0.44</v>
      </c>
      <c r="B46" s="12" t="s">
        <v>195</v>
      </c>
      <c r="C46" s="13">
        <v>1.136574074074074E-2</v>
      </c>
      <c r="D46" s="14" t="s">
        <v>434</v>
      </c>
      <c r="F46" s="30" t="s">
        <v>119</v>
      </c>
      <c r="G46" s="32">
        <f>G3+G45</f>
        <v>1012.5</v>
      </c>
      <c r="H46" s="49"/>
    </row>
    <row r="47" spans="1:8" x14ac:dyDescent="0.35">
      <c r="A47" s="11">
        <v>0.45</v>
      </c>
      <c r="B47" s="12" t="s">
        <v>195</v>
      </c>
      <c r="C47" s="13">
        <v>1.1631944444444445E-2</v>
      </c>
      <c r="D47" s="14" t="s">
        <v>435</v>
      </c>
      <c r="F47" s="21" t="s">
        <v>121</v>
      </c>
      <c r="G47" s="31">
        <f>(J4*G8)</f>
        <v>239</v>
      </c>
      <c r="H47" s="49"/>
    </row>
    <row r="48" spans="1:8" x14ac:dyDescent="0.35">
      <c r="A48" s="11">
        <v>0.46</v>
      </c>
      <c r="B48" s="12" t="s">
        <v>195</v>
      </c>
      <c r="C48" s="13">
        <v>1.1909722222222223E-2</v>
      </c>
      <c r="D48" s="14" t="s">
        <v>436</v>
      </c>
      <c r="F48" s="5" t="s">
        <v>120</v>
      </c>
      <c r="G48" s="32">
        <f>G46-G47</f>
        <v>773.5</v>
      </c>
      <c r="H48" s="49"/>
    </row>
    <row r="49" spans="1:8" x14ac:dyDescent="0.35">
      <c r="A49" s="11">
        <v>0.47</v>
      </c>
      <c r="B49" s="12" t="s">
        <v>195</v>
      </c>
      <c r="C49" s="13">
        <v>1.2187500000000002E-2</v>
      </c>
      <c r="D49" s="14" t="s">
        <v>437</v>
      </c>
      <c r="F49" s="21" t="s">
        <v>123</v>
      </c>
      <c r="G49" s="31">
        <f>G21*(J4*(G10-G9))</f>
        <v>798.5</v>
      </c>
      <c r="H49" s="49"/>
    </row>
    <row r="50" spans="1:8" x14ac:dyDescent="0.35">
      <c r="A50" s="11">
        <v>0.48</v>
      </c>
      <c r="B50" s="12" t="s">
        <v>195</v>
      </c>
      <c r="C50" s="13">
        <v>1.2465277777777777E-2</v>
      </c>
      <c r="D50" s="14" t="s">
        <v>438</v>
      </c>
      <c r="F50" s="30" t="s">
        <v>122</v>
      </c>
      <c r="G50" s="32">
        <f>ABS(G48-G49)</f>
        <v>25</v>
      </c>
      <c r="H50" s="49"/>
    </row>
    <row r="51" spans="1:8" x14ac:dyDescent="0.35">
      <c r="A51" s="11">
        <v>0.49</v>
      </c>
      <c r="B51" s="12" t="s">
        <v>195</v>
      </c>
      <c r="C51" s="13">
        <v>1.2743055555555556E-2</v>
      </c>
      <c r="D51" s="14" t="s">
        <v>439</v>
      </c>
    </row>
    <row r="52" spans="1:8" x14ac:dyDescent="0.35">
      <c r="A52" s="11">
        <v>0.5</v>
      </c>
      <c r="B52" s="12" t="s">
        <v>440</v>
      </c>
      <c r="C52" s="13">
        <v>1.3020833333333334E-2</v>
      </c>
      <c r="D52" s="14" t="s">
        <v>441</v>
      </c>
    </row>
    <row r="53" spans="1:8" x14ac:dyDescent="0.35">
      <c r="A53" s="11">
        <v>0.51</v>
      </c>
      <c r="B53" s="12" t="s">
        <v>440</v>
      </c>
      <c r="C53" s="13">
        <v>1.3287037037037036E-2</v>
      </c>
      <c r="D53" s="14" t="s">
        <v>442</v>
      </c>
    </row>
    <row r="54" spans="1:8" x14ac:dyDescent="0.35">
      <c r="A54" s="11">
        <v>0.52</v>
      </c>
      <c r="B54" s="12" t="s">
        <v>440</v>
      </c>
      <c r="C54" s="13">
        <v>1.3564814814814816E-2</v>
      </c>
      <c r="D54" s="14" t="s">
        <v>48</v>
      </c>
    </row>
    <row r="55" spans="1:8" x14ac:dyDescent="0.35">
      <c r="A55" s="11">
        <v>0.53</v>
      </c>
      <c r="B55" s="12" t="s">
        <v>440</v>
      </c>
      <c r="C55" s="13">
        <v>1.383101851851852E-2</v>
      </c>
      <c r="D55" s="14" t="s">
        <v>49</v>
      </c>
    </row>
    <row r="56" spans="1:8" x14ac:dyDescent="0.35">
      <c r="A56" s="11">
        <v>0.54</v>
      </c>
      <c r="B56" s="12" t="s">
        <v>195</v>
      </c>
      <c r="C56" s="13">
        <v>1.4108796296296295E-2</v>
      </c>
      <c r="D56" s="14" t="s">
        <v>50</v>
      </c>
    </row>
    <row r="57" spans="1:8" x14ac:dyDescent="0.35">
      <c r="A57" s="11">
        <v>0.55000000000000004</v>
      </c>
      <c r="B57" s="12" t="s">
        <v>440</v>
      </c>
      <c r="C57" s="13">
        <v>1.4386574074074072E-2</v>
      </c>
      <c r="D57" s="14" t="s">
        <v>51</v>
      </c>
    </row>
    <row r="58" spans="1:8" x14ac:dyDescent="0.35">
      <c r="A58" s="11">
        <v>0.56000000000000005</v>
      </c>
      <c r="B58" s="12" t="s">
        <v>440</v>
      </c>
      <c r="C58" s="13">
        <v>1.4664351851851852E-2</v>
      </c>
      <c r="D58" s="14" t="s">
        <v>443</v>
      </c>
    </row>
    <row r="59" spans="1:8" x14ac:dyDescent="0.35">
      <c r="A59" s="11">
        <v>0.56999999999999995</v>
      </c>
      <c r="B59" s="12" t="s">
        <v>440</v>
      </c>
      <c r="C59" s="13">
        <v>1.4930555555555556E-2</v>
      </c>
      <c r="D59" s="14" t="s">
        <v>444</v>
      </c>
    </row>
    <row r="60" spans="1:8" x14ac:dyDescent="0.35">
      <c r="A60" s="11">
        <v>0.57999999999999996</v>
      </c>
      <c r="B60" s="12" t="s">
        <v>440</v>
      </c>
      <c r="C60" s="13">
        <v>1.5208333333333332E-2</v>
      </c>
      <c r="D60" s="14" t="s">
        <v>445</v>
      </c>
    </row>
    <row r="61" spans="1:8" x14ac:dyDescent="0.35">
      <c r="A61" s="11">
        <v>0.59</v>
      </c>
      <c r="B61" s="12" t="s">
        <v>440</v>
      </c>
      <c r="C61" s="13">
        <v>1.5486111111111112E-2</v>
      </c>
      <c r="D61" s="14" t="s">
        <v>446</v>
      </c>
    </row>
    <row r="62" spans="1:8" x14ac:dyDescent="0.35">
      <c r="A62" s="11">
        <v>0.6</v>
      </c>
      <c r="B62" s="12" t="s">
        <v>334</v>
      </c>
      <c r="C62" s="13">
        <v>1.5752314814814813E-2</v>
      </c>
      <c r="D62" s="14" t="s">
        <v>447</v>
      </c>
    </row>
    <row r="63" spans="1:8" x14ac:dyDescent="0.35">
      <c r="A63" s="11">
        <v>0.61</v>
      </c>
      <c r="B63" s="12" t="s">
        <v>195</v>
      </c>
      <c r="C63" s="13">
        <v>1.6030092592592592E-2</v>
      </c>
      <c r="D63" s="14" t="s">
        <v>448</v>
      </c>
    </row>
    <row r="64" spans="1:8" x14ac:dyDescent="0.35">
      <c r="A64" s="11">
        <v>0.62</v>
      </c>
      <c r="B64" s="12" t="s">
        <v>195</v>
      </c>
      <c r="C64" s="13">
        <v>1.6307870370370372E-2</v>
      </c>
      <c r="D64" s="14" t="s">
        <v>449</v>
      </c>
    </row>
    <row r="65" spans="1:4" x14ac:dyDescent="0.35">
      <c r="A65" s="11">
        <v>0.63</v>
      </c>
      <c r="B65" s="12" t="s">
        <v>63</v>
      </c>
      <c r="C65" s="13">
        <v>1.6585648148148148E-2</v>
      </c>
      <c r="D65" s="14" t="s">
        <v>450</v>
      </c>
    </row>
    <row r="66" spans="1:4" x14ac:dyDescent="0.35">
      <c r="A66" s="11">
        <v>0.64</v>
      </c>
      <c r="B66" s="12" t="s">
        <v>344</v>
      </c>
      <c r="C66" s="13">
        <v>1.6875000000000001E-2</v>
      </c>
      <c r="D66" s="14" t="s">
        <v>353</v>
      </c>
    </row>
    <row r="67" spans="1:4" x14ac:dyDescent="0.35">
      <c r="A67" s="11">
        <v>0.65</v>
      </c>
      <c r="B67" s="12" t="s">
        <v>346</v>
      </c>
      <c r="C67" s="13">
        <v>1.7175925925925924E-2</v>
      </c>
      <c r="D67" s="14" t="s">
        <v>451</v>
      </c>
    </row>
    <row r="68" spans="1:4" x14ac:dyDescent="0.35">
      <c r="A68" s="11">
        <v>0.66</v>
      </c>
      <c r="B68" s="12" t="s">
        <v>346</v>
      </c>
      <c r="C68" s="13">
        <v>1.7476851851851851E-2</v>
      </c>
      <c r="D68" s="14" t="s">
        <v>452</v>
      </c>
    </row>
    <row r="69" spans="1:4" x14ac:dyDescent="0.35">
      <c r="A69" s="11">
        <v>0.67</v>
      </c>
      <c r="B69" s="12" t="s">
        <v>346</v>
      </c>
      <c r="C69" s="13">
        <v>1.7777777777777778E-2</v>
      </c>
      <c r="D69" s="14" t="s">
        <v>453</v>
      </c>
    </row>
    <row r="70" spans="1:4" x14ac:dyDescent="0.35">
      <c r="A70" s="11">
        <v>0.68</v>
      </c>
      <c r="B70" s="12" t="s">
        <v>346</v>
      </c>
      <c r="C70" s="13">
        <v>1.8078703703703704E-2</v>
      </c>
      <c r="D70" s="14" t="s">
        <v>454</v>
      </c>
    </row>
    <row r="71" spans="1:4" x14ac:dyDescent="0.35">
      <c r="A71" s="11">
        <v>0.69</v>
      </c>
      <c r="B71" s="12" t="s">
        <v>347</v>
      </c>
      <c r="C71" s="13">
        <v>1.8379629629629628E-2</v>
      </c>
      <c r="D71" s="14" t="s">
        <v>455</v>
      </c>
    </row>
    <row r="72" spans="1:4" x14ac:dyDescent="0.35">
      <c r="A72" s="11">
        <v>0.7</v>
      </c>
      <c r="B72" s="12" t="s">
        <v>207</v>
      </c>
      <c r="C72" s="13">
        <v>1.8692129629629631E-2</v>
      </c>
      <c r="D72" s="14" t="s">
        <v>456</v>
      </c>
    </row>
    <row r="73" spans="1:4" x14ac:dyDescent="0.35">
      <c r="A73" s="11">
        <v>0.71</v>
      </c>
      <c r="B73" s="12" t="s">
        <v>457</v>
      </c>
      <c r="C73" s="13">
        <v>1.9004629629629632E-2</v>
      </c>
      <c r="D73" s="14" t="s">
        <v>458</v>
      </c>
    </row>
    <row r="74" spans="1:4" x14ac:dyDescent="0.35">
      <c r="A74" s="11">
        <v>0.72</v>
      </c>
      <c r="B74" s="12" t="s">
        <v>459</v>
      </c>
      <c r="C74" s="13">
        <v>1.9328703703703702E-2</v>
      </c>
      <c r="D74" s="14" t="s">
        <v>460</v>
      </c>
    </row>
    <row r="75" spans="1:4" x14ac:dyDescent="0.35">
      <c r="A75" s="11">
        <v>0.73</v>
      </c>
      <c r="B75" s="12" t="s">
        <v>457</v>
      </c>
      <c r="C75" s="13">
        <v>1.9652777777777779E-2</v>
      </c>
      <c r="D75" s="14" t="s">
        <v>461</v>
      </c>
    </row>
    <row r="76" spans="1:4" x14ac:dyDescent="0.35">
      <c r="A76" s="11">
        <v>0.74</v>
      </c>
      <c r="B76" s="12" t="s">
        <v>68</v>
      </c>
      <c r="C76" s="13">
        <v>1.9988425925925927E-2</v>
      </c>
      <c r="D76" s="14" t="s">
        <v>362</v>
      </c>
    </row>
    <row r="77" spans="1:4" x14ac:dyDescent="0.35">
      <c r="A77" s="11">
        <v>0.75</v>
      </c>
      <c r="B77" s="12" t="s">
        <v>215</v>
      </c>
      <c r="C77" s="13">
        <v>2.0335648148148148E-2</v>
      </c>
      <c r="D77" s="14" t="s">
        <v>363</v>
      </c>
    </row>
    <row r="78" spans="1:4" x14ac:dyDescent="0.35">
      <c r="A78" s="11">
        <v>0.76</v>
      </c>
      <c r="B78" s="12" t="s">
        <v>462</v>
      </c>
      <c r="C78" s="13">
        <v>2.0694444444444446E-2</v>
      </c>
      <c r="D78" s="14" t="s">
        <v>254</v>
      </c>
    </row>
    <row r="79" spans="1:4" x14ac:dyDescent="0.35">
      <c r="A79" s="11">
        <v>0.77</v>
      </c>
      <c r="B79" s="12" t="s">
        <v>70</v>
      </c>
      <c r="C79" s="13">
        <v>2.1064814814814814E-2</v>
      </c>
      <c r="D79" s="14" t="s">
        <v>463</v>
      </c>
    </row>
    <row r="80" spans="1:4" x14ac:dyDescent="0.35">
      <c r="A80" s="11">
        <v>0.78</v>
      </c>
      <c r="B80" s="12" t="s">
        <v>226</v>
      </c>
      <c r="C80" s="13">
        <v>2.1446759259259259E-2</v>
      </c>
      <c r="D80" s="14" t="s">
        <v>464</v>
      </c>
    </row>
    <row r="81" spans="1:4" x14ac:dyDescent="0.35">
      <c r="A81" s="11">
        <v>0.79</v>
      </c>
      <c r="B81" s="12" t="s">
        <v>232</v>
      </c>
      <c r="C81" s="13">
        <v>2.1875000000000002E-2</v>
      </c>
      <c r="D81" s="14" t="s">
        <v>69</v>
      </c>
    </row>
    <row r="82" spans="1:4" x14ac:dyDescent="0.35">
      <c r="A82" s="11">
        <v>0.8</v>
      </c>
      <c r="B82" s="12" t="s">
        <v>74</v>
      </c>
      <c r="C82" s="13">
        <v>2.2326388888888885E-2</v>
      </c>
      <c r="D82" s="14" t="s">
        <v>71</v>
      </c>
    </row>
    <row r="83" spans="1:4" x14ac:dyDescent="0.35">
      <c r="A83" s="11">
        <v>0.81</v>
      </c>
      <c r="B83" s="12" t="s">
        <v>465</v>
      </c>
      <c r="C83" s="13">
        <v>2.2812499999999999E-2</v>
      </c>
      <c r="D83" s="14" t="s">
        <v>73</v>
      </c>
    </row>
    <row r="84" spans="1:4" x14ac:dyDescent="0.35">
      <c r="A84" s="11">
        <v>0.82</v>
      </c>
      <c r="B84" s="12" t="s">
        <v>257</v>
      </c>
      <c r="C84" s="13">
        <v>2.3344907407407408E-2</v>
      </c>
      <c r="D84" s="14" t="s">
        <v>466</v>
      </c>
    </row>
    <row r="85" spans="1:4" x14ac:dyDescent="0.35">
      <c r="A85" s="11">
        <v>0.83</v>
      </c>
      <c r="B85" s="12" t="s">
        <v>260</v>
      </c>
      <c r="C85" s="13">
        <v>2.3935185185185184E-2</v>
      </c>
      <c r="D85" s="14" t="s">
        <v>467</v>
      </c>
    </row>
    <row r="86" spans="1:4" x14ac:dyDescent="0.35">
      <c r="A86" s="11">
        <v>0.84</v>
      </c>
      <c r="B86" s="12" t="s">
        <v>382</v>
      </c>
      <c r="C86" s="13">
        <v>2.4583333333333332E-2</v>
      </c>
      <c r="D86" s="14" t="s">
        <v>468</v>
      </c>
    </row>
    <row r="87" spans="1:4" x14ac:dyDescent="0.35">
      <c r="A87" s="11">
        <v>0.85</v>
      </c>
      <c r="B87" s="12" t="s">
        <v>469</v>
      </c>
      <c r="C87" s="13">
        <v>2.5335648148148149E-2</v>
      </c>
      <c r="D87" s="14" t="s">
        <v>373</v>
      </c>
    </row>
    <row r="88" spans="1:4" x14ac:dyDescent="0.35">
      <c r="A88" s="11">
        <v>0.86</v>
      </c>
      <c r="B88" s="12" t="s">
        <v>470</v>
      </c>
      <c r="C88" s="13">
        <v>2.6180555555555558E-2</v>
      </c>
      <c r="D88" s="14" t="s">
        <v>471</v>
      </c>
    </row>
    <row r="89" spans="1:4" x14ac:dyDescent="0.35">
      <c r="A89" s="11">
        <v>0.87</v>
      </c>
      <c r="B89" s="12" t="s">
        <v>390</v>
      </c>
      <c r="C89" s="13">
        <v>2.7199074074074073E-2</v>
      </c>
      <c r="D89" s="14" t="s">
        <v>472</v>
      </c>
    </row>
    <row r="90" spans="1:4" x14ac:dyDescent="0.35">
      <c r="A90" s="11">
        <v>0.88</v>
      </c>
      <c r="B90" s="12" t="s">
        <v>390</v>
      </c>
      <c r="C90" s="13">
        <v>2.8310185185185185E-2</v>
      </c>
      <c r="D90" s="14" t="s">
        <v>473</v>
      </c>
    </row>
    <row r="91" spans="1:4" x14ac:dyDescent="0.35">
      <c r="A91" s="11">
        <v>0.89</v>
      </c>
      <c r="B91" s="12" t="s">
        <v>390</v>
      </c>
      <c r="C91" s="13">
        <v>2.9421296296296296E-2</v>
      </c>
      <c r="D91" s="14" t="s">
        <v>474</v>
      </c>
    </row>
    <row r="92" spans="1:4" x14ac:dyDescent="0.35">
      <c r="A92" s="11">
        <v>0.9</v>
      </c>
      <c r="B92" s="12" t="s">
        <v>390</v>
      </c>
      <c r="C92" s="13">
        <v>3.0532407407407411E-2</v>
      </c>
      <c r="D92" s="14" t="s">
        <v>475</v>
      </c>
    </row>
    <row r="93" spans="1:4" x14ac:dyDescent="0.35">
      <c r="A93" s="11">
        <v>0.91</v>
      </c>
      <c r="B93" s="12" t="s">
        <v>390</v>
      </c>
      <c r="C93" s="13">
        <v>3.1643518518518522E-2</v>
      </c>
      <c r="D93" s="14" t="s">
        <v>476</v>
      </c>
    </row>
    <row r="94" spans="1:4" x14ac:dyDescent="0.35">
      <c r="A94" s="11">
        <v>0.92</v>
      </c>
      <c r="B94" s="12" t="s">
        <v>390</v>
      </c>
      <c r="C94" s="13">
        <v>3.27662037037037E-2</v>
      </c>
      <c r="D94" s="14" t="s">
        <v>477</v>
      </c>
    </row>
    <row r="95" spans="1:4" x14ac:dyDescent="0.35">
      <c r="A95" s="11">
        <v>0.93</v>
      </c>
      <c r="B95" s="12" t="s">
        <v>390</v>
      </c>
      <c r="C95" s="13">
        <v>3.3877314814814811E-2</v>
      </c>
      <c r="D95" s="14" t="s">
        <v>478</v>
      </c>
    </row>
    <row r="96" spans="1:4" x14ac:dyDescent="0.35">
      <c r="A96" s="11">
        <v>0.94</v>
      </c>
      <c r="B96" s="12" t="s">
        <v>280</v>
      </c>
      <c r="C96" s="13">
        <v>3.5104166666666665E-2</v>
      </c>
      <c r="D96" s="14" t="s">
        <v>479</v>
      </c>
    </row>
    <row r="97" spans="1:4" x14ac:dyDescent="0.35">
      <c r="A97" s="11">
        <v>0.95</v>
      </c>
      <c r="B97" s="12" t="s">
        <v>93</v>
      </c>
      <c r="C97" s="13">
        <v>3.650462962962963E-2</v>
      </c>
      <c r="D97" s="14" t="s">
        <v>480</v>
      </c>
    </row>
    <row r="98" spans="1:4" x14ac:dyDescent="0.35">
      <c r="A98" s="11">
        <v>0.96</v>
      </c>
      <c r="B98" s="12" t="s">
        <v>481</v>
      </c>
      <c r="C98" s="13">
        <v>3.7962962962962962E-2</v>
      </c>
      <c r="D98" s="14" t="s">
        <v>482</v>
      </c>
    </row>
    <row r="99" spans="1:4" x14ac:dyDescent="0.35">
      <c r="A99" s="11">
        <v>0.97</v>
      </c>
      <c r="B99" s="12" t="s">
        <v>481</v>
      </c>
      <c r="C99" s="13">
        <v>3.9467592592592596E-2</v>
      </c>
      <c r="D99" s="14" t="s">
        <v>483</v>
      </c>
    </row>
    <row r="100" spans="1:4" x14ac:dyDescent="0.35">
      <c r="A100" s="11">
        <v>0.98</v>
      </c>
      <c r="B100" s="12" t="s">
        <v>282</v>
      </c>
      <c r="C100" s="13">
        <v>4.1030092592592597E-2</v>
      </c>
      <c r="D100" s="14" t="s">
        <v>484</v>
      </c>
    </row>
    <row r="101" spans="1:4" x14ac:dyDescent="0.35">
      <c r="A101" s="11">
        <v>0.99</v>
      </c>
      <c r="B101" s="12" t="s">
        <v>485</v>
      </c>
      <c r="C101" s="13">
        <v>4.2650462962962959E-2</v>
      </c>
      <c r="D101" s="14" t="s">
        <v>486</v>
      </c>
    </row>
    <row r="102" spans="1:4" ht="15" thickBot="1" x14ac:dyDescent="0.4">
      <c r="A102" s="15">
        <v>1</v>
      </c>
      <c r="B102" s="16" t="s">
        <v>397</v>
      </c>
      <c r="C102" s="17">
        <v>4.4340277777777777E-2</v>
      </c>
      <c r="D102" s="18" t="s">
        <v>487</v>
      </c>
    </row>
    <row r="103" spans="1:4" x14ac:dyDescent="0.35">
      <c r="D10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DDB2-BC76-412A-9FF9-0B286CF23F1A}">
  <dimension ref="A1:J103"/>
  <sheetViews>
    <sheetView topLeftCell="A11" zoomScaleNormal="100" workbookViewId="0">
      <selection activeCell="F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0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259</v>
      </c>
      <c r="C3" s="13">
        <v>7.5231481481481471E-4</v>
      </c>
      <c r="D3" s="14" t="s">
        <v>491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488</v>
      </c>
    </row>
    <row r="4" spans="1:10" ht="15" thickBot="1" x14ac:dyDescent="0.4">
      <c r="A4" s="11">
        <v>0.02</v>
      </c>
      <c r="B4" s="12" t="s">
        <v>253</v>
      </c>
      <c r="C4" s="13">
        <v>1.423611111111111E-3</v>
      </c>
      <c r="D4" s="14" t="s">
        <v>492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285</v>
      </c>
    </row>
    <row r="5" spans="1:10" ht="15" thickBot="1" x14ac:dyDescent="0.4">
      <c r="A5" s="11">
        <v>0.03</v>
      </c>
      <c r="B5" s="12" t="s">
        <v>241</v>
      </c>
      <c r="C5" s="13">
        <v>2.0138888888888888E-3</v>
      </c>
      <c r="D5" s="14" t="s">
        <v>493</v>
      </c>
      <c r="F5" s="21" t="s">
        <v>98</v>
      </c>
      <c r="G5" s="38">
        <f>Summary!H4</f>
        <v>25</v>
      </c>
      <c r="H5" s="23"/>
      <c r="I5" s="6" t="s">
        <v>108</v>
      </c>
      <c r="J5" s="20" t="s">
        <v>489</v>
      </c>
    </row>
    <row r="6" spans="1:10" ht="15" thickBot="1" x14ac:dyDescent="0.4">
      <c r="A6" s="11">
        <v>0.04</v>
      </c>
      <c r="B6" s="12" t="s">
        <v>72</v>
      </c>
      <c r="C6" s="13">
        <v>2.5347222222222221E-3</v>
      </c>
      <c r="D6" s="14" t="s">
        <v>494</v>
      </c>
      <c r="F6" s="21" t="s">
        <v>97</v>
      </c>
      <c r="G6" s="38">
        <f>Summary!H5</f>
        <v>70</v>
      </c>
      <c r="H6" s="23"/>
      <c r="I6" s="6" t="s">
        <v>106</v>
      </c>
      <c r="J6" s="20" t="s">
        <v>490</v>
      </c>
    </row>
    <row r="7" spans="1:10" x14ac:dyDescent="0.35">
      <c r="A7" s="11">
        <v>0.05</v>
      </c>
      <c r="B7" s="12" t="s">
        <v>294</v>
      </c>
      <c r="C7" s="13">
        <v>3.0208333333333333E-3</v>
      </c>
      <c r="D7" s="14" t="s">
        <v>406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495</v>
      </c>
      <c r="C8" s="13">
        <v>3.4606481481481485E-3</v>
      </c>
      <c r="D8" s="14" t="s">
        <v>132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459</v>
      </c>
      <c r="C9" s="13">
        <v>3.8657407407407408E-3</v>
      </c>
      <c r="D9" s="14" t="s">
        <v>13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285</v>
      </c>
    </row>
    <row r="10" spans="1:10" x14ac:dyDescent="0.35">
      <c r="A10" s="11">
        <v>0.08</v>
      </c>
      <c r="B10" s="12" t="s">
        <v>203</v>
      </c>
      <c r="C10" s="13">
        <v>4.2361111111111106E-3</v>
      </c>
      <c r="D10" s="14" t="s">
        <v>496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3.0978260869565224</v>
      </c>
    </row>
    <row r="11" spans="1:10" x14ac:dyDescent="0.35">
      <c r="A11" s="11">
        <v>0.09</v>
      </c>
      <c r="B11" s="12" t="s">
        <v>199</v>
      </c>
      <c r="C11" s="13">
        <v>4.5833333333333334E-3</v>
      </c>
      <c r="D11" s="14" t="s">
        <v>497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94.25352112676056</v>
      </c>
    </row>
    <row r="12" spans="1:10" x14ac:dyDescent="0.35">
      <c r="A12" s="11">
        <v>0.1</v>
      </c>
      <c r="B12" s="12" t="s">
        <v>191</v>
      </c>
      <c r="C12" s="13">
        <v>4.9074074074074072E-3</v>
      </c>
      <c r="D12" s="14" t="s">
        <v>412</v>
      </c>
      <c r="F12" s="21" t="s">
        <v>772</v>
      </c>
      <c r="G12" s="41">
        <f>Summary!H11</f>
        <v>0.46</v>
      </c>
      <c r="H12" s="49"/>
      <c r="I12" s="28"/>
    </row>
    <row r="13" spans="1:10" x14ac:dyDescent="0.35">
      <c r="A13" s="11">
        <v>0.11</v>
      </c>
      <c r="B13" s="12" t="s">
        <v>330</v>
      </c>
      <c r="C13" s="13">
        <v>5.2314814814814819E-3</v>
      </c>
      <c r="D13" s="14" t="s">
        <v>498</v>
      </c>
      <c r="F13" s="49"/>
      <c r="G13" s="49"/>
      <c r="H13" s="49"/>
      <c r="I13" s="29"/>
    </row>
    <row r="14" spans="1:10" x14ac:dyDescent="0.35">
      <c r="A14" s="11">
        <v>0.12</v>
      </c>
      <c r="B14" s="12" t="s">
        <v>189</v>
      </c>
      <c r="C14" s="13">
        <v>5.5439814814814822E-3</v>
      </c>
      <c r="D14" s="14" t="s">
        <v>307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329</v>
      </c>
      <c r="C15" s="13">
        <v>5.8564814814814825E-3</v>
      </c>
      <c r="D15" s="14" t="s">
        <v>20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0.76583333333333337</v>
      </c>
      <c r="H15" s="57">
        <f>G15/24</f>
        <v>3.1909722222222221E-2</v>
      </c>
    </row>
    <row r="16" spans="1:10" x14ac:dyDescent="0.35">
      <c r="A16" s="11">
        <v>0.14000000000000001</v>
      </c>
      <c r="B16" s="12" t="s">
        <v>410</v>
      </c>
      <c r="C16" s="13">
        <v>6.1574074074074074E-3</v>
      </c>
      <c r="D16" s="14" t="s">
        <v>499</v>
      </c>
      <c r="F16" s="49"/>
      <c r="G16" s="49"/>
      <c r="H16" s="49"/>
    </row>
    <row r="17" spans="1:8" x14ac:dyDescent="0.35">
      <c r="A17" s="11">
        <v>0.15</v>
      </c>
      <c r="B17" s="12" t="s">
        <v>183</v>
      </c>
      <c r="C17" s="13">
        <v>6.4583333333333333E-3</v>
      </c>
      <c r="D17" s="14" t="s">
        <v>500</v>
      </c>
      <c r="F17" s="4" t="s">
        <v>694</v>
      </c>
      <c r="G17" s="27" t="s">
        <v>117</v>
      </c>
      <c r="H17" s="49"/>
    </row>
    <row r="18" spans="1:8" x14ac:dyDescent="0.35">
      <c r="A18" s="11">
        <v>0.16</v>
      </c>
      <c r="B18" s="12" t="s">
        <v>181</v>
      </c>
      <c r="C18" s="13">
        <v>6.7476851851851856E-3</v>
      </c>
      <c r="D18" s="14" t="s">
        <v>501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3.5839598997493729</v>
      </c>
      <c r="H18" s="49"/>
    </row>
    <row r="19" spans="1:8" x14ac:dyDescent="0.35">
      <c r="A19" s="11">
        <v>0.17</v>
      </c>
      <c r="B19" s="12" t="s">
        <v>61</v>
      </c>
      <c r="C19" s="13">
        <v>7.0717592592592594E-3</v>
      </c>
      <c r="D19" s="14" t="s">
        <v>502</v>
      </c>
      <c r="F19" s="21" t="str">
        <f>"Number of Charges for "&amp;G5&amp;" Miles Remaing"</f>
        <v>Number of Charges for 25 Miles Remaing</v>
      </c>
      <c r="G19" s="26">
        <f>(G5/((J4*(G10-G9))))</f>
        <v>0.12531328320802004</v>
      </c>
      <c r="H19" s="49"/>
    </row>
    <row r="20" spans="1:8" x14ac:dyDescent="0.35">
      <c r="A20" s="11">
        <v>0.18</v>
      </c>
      <c r="B20" s="12" t="s">
        <v>351</v>
      </c>
      <c r="C20" s="13">
        <v>7.4305555555555548E-3</v>
      </c>
      <c r="D20" s="14" t="s">
        <v>157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5.012531328320801E-2</v>
      </c>
      <c r="H20" s="49"/>
    </row>
    <row r="21" spans="1:8" x14ac:dyDescent="0.35">
      <c r="A21" s="11">
        <v>0.19</v>
      </c>
      <c r="B21" s="12" t="s">
        <v>351</v>
      </c>
      <c r="C21" s="13">
        <v>7.8009259259259256E-3</v>
      </c>
      <c r="D21" s="14" t="s">
        <v>503</v>
      </c>
      <c r="F21" s="21" t="s">
        <v>770</v>
      </c>
      <c r="G21" s="26">
        <f>SUM(G18:G20)</f>
        <v>3.7593984962406006</v>
      </c>
      <c r="H21" s="49"/>
    </row>
    <row r="22" spans="1:8" x14ac:dyDescent="0.35">
      <c r="A22" s="11">
        <v>0.2</v>
      </c>
      <c r="B22" s="12" t="s">
        <v>205</v>
      </c>
      <c r="C22" s="13">
        <v>8.1712962962962963E-3</v>
      </c>
      <c r="D22" s="14" t="s">
        <v>27</v>
      </c>
      <c r="F22" s="49"/>
      <c r="G22" s="49"/>
      <c r="H22" s="49"/>
    </row>
    <row r="23" spans="1:8" x14ac:dyDescent="0.35">
      <c r="A23" s="11">
        <v>0.21</v>
      </c>
      <c r="B23" s="12" t="s">
        <v>205</v>
      </c>
      <c r="C23" s="13">
        <v>8.5416666666666679E-3</v>
      </c>
      <c r="D23" s="14" t="s">
        <v>504</v>
      </c>
      <c r="F23" s="4" t="s">
        <v>773</v>
      </c>
      <c r="G23" s="27" t="s">
        <v>785</v>
      </c>
      <c r="H23" s="27" t="s">
        <v>786</v>
      </c>
    </row>
    <row r="24" spans="1:8" x14ac:dyDescent="0.35">
      <c r="A24" s="11">
        <v>0.22</v>
      </c>
      <c r="B24" s="12" t="s">
        <v>351</v>
      </c>
      <c r="C24" s="13">
        <v>8.9004629629629625E-3</v>
      </c>
      <c r="D24" s="14" t="s">
        <v>505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8" x14ac:dyDescent="0.35">
      <c r="A25" s="11">
        <v>0.23</v>
      </c>
      <c r="B25" s="12" t="s">
        <v>351</v>
      </c>
      <c r="C25" s="13">
        <v>9.2824074074074076E-3</v>
      </c>
      <c r="D25" s="14" t="s">
        <v>320</v>
      </c>
      <c r="E25" s="1"/>
      <c r="F25" s="34" t="s">
        <v>116</v>
      </c>
      <c r="G25" s="37">
        <f>ROUNDUP(G21,0)*((G4/G7))</f>
        <v>0.33333333333333331</v>
      </c>
      <c r="H25" s="57">
        <f>G25/24</f>
        <v>1.3888888888888888E-2</v>
      </c>
    </row>
    <row r="26" spans="1:8" x14ac:dyDescent="0.35">
      <c r="A26" s="11">
        <v>0.24</v>
      </c>
      <c r="B26" s="12" t="s">
        <v>205</v>
      </c>
      <c r="C26" s="13">
        <v>9.6527777777777775E-3</v>
      </c>
      <c r="D26" s="14" t="s">
        <v>170</v>
      </c>
      <c r="F26" s="34" t="s">
        <v>99</v>
      </c>
      <c r="G26" s="37">
        <f>G21*G15</f>
        <v>2.87907268170426</v>
      </c>
      <c r="H26" s="57">
        <f>G26/24</f>
        <v>0.1199613617376775</v>
      </c>
    </row>
    <row r="27" spans="1:8" x14ac:dyDescent="0.35">
      <c r="A27" s="11">
        <v>0.25</v>
      </c>
      <c r="B27" s="12" t="s">
        <v>205</v>
      </c>
      <c r="C27" s="13">
        <v>1.0011574074074074E-2</v>
      </c>
      <c r="D27" s="14" t="s">
        <v>323</v>
      </c>
      <c r="F27" s="35" t="s">
        <v>112</v>
      </c>
      <c r="G27" s="36">
        <f>SUM(G24:G26)</f>
        <v>17.498120300751879</v>
      </c>
      <c r="H27" s="58">
        <f>G27/24</f>
        <v>0.72908834586466165</v>
      </c>
    </row>
    <row r="28" spans="1:8" x14ac:dyDescent="0.35">
      <c r="A28" s="11">
        <v>0.26</v>
      </c>
      <c r="B28" s="12" t="s">
        <v>205</v>
      </c>
      <c r="C28" s="13">
        <v>1.0381944444444444E-2</v>
      </c>
      <c r="D28" s="14" t="s">
        <v>426</v>
      </c>
      <c r="F28" s="49"/>
      <c r="G28" s="49"/>
      <c r="H28" s="49"/>
    </row>
    <row r="29" spans="1:8" x14ac:dyDescent="0.35">
      <c r="A29" s="11">
        <v>0.27</v>
      </c>
      <c r="B29" s="12" t="s">
        <v>205</v>
      </c>
      <c r="C29" s="13">
        <v>1.0752314814814814E-2</v>
      </c>
      <c r="D29" s="14" t="s">
        <v>34</v>
      </c>
      <c r="F29" s="4" t="s">
        <v>781</v>
      </c>
      <c r="G29" s="27" t="s">
        <v>117</v>
      </c>
      <c r="H29" s="49"/>
    </row>
    <row r="30" spans="1:8" x14ac:dyDescent="0.35">
      <c r="A30" s="11">
        <v>0.28000000000000003</v>
      </c>
      <c r="B30" s="12" t="s">
        <v>205</v>
      </c>
      <c r="C30" s="13">
        <v>1.1122685185185185E-2</v>
      </c>
      <c r="D30" s="14" t="s">
        <v>506</v>
      </c>
      <c r="F30" s="5" t="s">
        <v>774</v>
      </c>
      <c r="G30" s="44">
        <f>VALUE(LEFT((VLOOKUP(G8,$A$2:$D$102,4,FALSE)),LEN((VLOOKUP(G8,$A$2:$D$102,4,FALSE)))-4))</f>
        <v>92</v>
      </c>
      <c r="H30" s="49"/>
    </row>
    <row r="31" spans="1:8" x14ac:dyDescent="0.35">
      <c r="A31" s="11">
        <v>0.28999999999999998</v>
      </c>
      <c r="B31" s="12" t="s">
        <v>205</v>
      </c>
      <c r="C31" s="13">
        <v>1.1493055555555555E-2</v>
      </c>
      <c r="D31" s="14" t="s">
        <v>507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64.399999999999991</v>
      </c>
      <c r="H31" s="49"/>
    </row>
    <row r="32" spans="1:8" x14ac:dyDescent="0.35">
      <c r="A32" s="11">
        <v>0.3</v>
      </c>
      <c r="B32" s="12" t="s">
        <v>205</v>
      </c>
      <c r="C32" s="13">
        <v>1.1851851851851851E-2</v>
      </c>
      <c r="D32" s="14" t="s">
        <v>184</v>
      </c>
      <c r="F32" s="5" t="s">
        <v>775</v>
      </c>
      <c r="G32" s="44">
        <f>(G21-G19)*G31</f>
        <v>234.03508771929816</v>
      </c>
      <c r="H32" s="2"/>
    </row>
    <row r="33" spans="1:8" x14ac:dyDescent="0.35">
      <c r="A33" s="11">
        <v>0.31</v>
      </c>
      <c r="B33" s="12" t="s">
        <v>347</v>
      </c>
      <c r="C33" s="13">
        <v>1.2222222222222223E-2</v>
      </c>
      <c r="D33" s="14" t="s">
        <v>431</v>
      </c>
      <c r="F33" s="30" t="s">
        <v>776</v>
      </c>
      <c r="G33" s="45">
        <f>G30*G11</f>
        <v>15.5848</v>
      </c>
      <c r="H33" s="49"/>
    </row>
    <row r="34" spans="1:8" x14ac:dyDescent="0.35">
      <c r="A34" s="11">
        <v>0.32</v>
      </c>
      <c r="B34" s="12" t="s">
        <v>205</v>
      </c>
      <c r="C34" s="13">
        <v>1.2592592592592593E-2</v>
      </c>
      <c r="D34" s="14" t="s">
        <v>508</v>
      </c>
      <c r="F34" s="30" t="s">
        <v>777</v>
      </c>
      <c r="G34" s="45">
        <f>G32*G12</f>
        <v>107.65614035087715</v>
      </c>
      <c r="H34" s="29"/>
    </row>
    <row r="35" spans="1:8" x14ac:dyDescent="0.35">
      <c r="A35" s="11">
        <v>0.33</v>
      </c>
      <c r="B35" s="12" t="s">
        <v>457</v>
      </c>
      <c r="C35" s="13">
        <v>1.2962962962962963E-2</v>
      </c>
      <c r="D35" s="14" t="s">
        <v>42</v>
      </c>
      <c r="F35" s="30" t="s">
        <v>778</v>
      </c>
      <c r="G35" s="67">
        <f>SUM(G33:G34)</f>
        <v>123.24094035087715</v>
      </c>
      <c r="H35" s="49"/>
    </row>
    <row r="36" spans="1:8" x14ac:dyDescent="0.35">
      <c r="A36" s="11">
        <v>0.34</v>
      </c>
      <c r="B36" s="12" t="s">
        <v>210</v>
      </c>
      <c r="C36" s="13">
        <v>1.3356481481481483E-2</v>
      </c>
      <c r="D36" s="14" t="s">
        <v>509</v>
      </c>
      <c r="F36" s="49"/>
      <c r="G36" s="49"/>
      <c r="H36" s="49"/>
    </row>
    <row r="37" spans="1:8" x14ac:dyDescent="0.35">
      <c r="A37" s="11">
        <v>0.35</v>
      </c>
      <c r="B37" s="12" t="s">
        <v>127</v>
      </c>
      <c r="C37" s="13">
        <v>1.375E-2</v>
      </c>
      <c r="D37" s="14" t="s">
        <v>510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127</v>
      </c>
      <c r="C38" s="13">
        <v>1.4155092592592592E-2</v>
      </c>
      <c r="D38" s="14" t="s">
        <v>433</v>
      </c>
      <c r="F38" s="30" t="str">
        <f>"Fuel Efficiency @"&amp;$G$6&amp; "mph (Miles/kWh)"</f>
        <v>Fuel Efficiency @70mph (Miles/kWh)</v>
      </c>
      <c r="G38" s="66">
        <f>($J$4*($G$10-$G$9))/$G$31</f>
        <v>3.0978260869565224</v>
      </c>
      <c r="H38" s="49"/>
    </row>
    <row r="39" spans="1:8" x14ac:dyDescent="0.35">
      <c r="A39" s="11">
        <v>0.37</v>
      </c>
      <c r="B39" s="12" t="s">
        <v>127</v>
      </c>
      <c r="C39" s="13">
        <v>1.4548611111111111E-2</v>
      </c>
      <c r="D39" s="14" t="s">
        <v>200</v>
      </c>
      <c r="F39" s="30" t="str">
        <f>"Fuel Efficiency @"&amp;$G$6&amp; "mph (kWh/100 mi)"</f>
        <v>Fuel Efficiency @70mph (kWh/100 mi)</v>
      </c>
      <c r="G39" s="66">
        <f>(1/G38)*100</f>
        <v>32.280701754385959</v>
      </c>
      <c r="H39" s="49"/>
    </row>
    <row r="40" spans="1:8" x14ac:dyDescent="0.35">
      <c r="A40" s="11">
        <v>0.38</v>
      </c>
      <c r="B40" s="12" t="s">
        <v>511</v>
      </c>
      <c r="C40" s="13">
        <v>1.4953703703703705E-2</v>
      </c>
      <c r="D40" s="14" t="s">
        <v>512</v>
      </c>
      <c r="F40" s="23"/>
      <c r="G40" s="23"/>
      <c r="H40" s="49"/>
    </row>
    <row r="41" spans="1:8" x14ac:dyDescent="0.35">
      <c r="A41" s="11">
        <v>0.39</v>
      </c>
      <c r="B41" s="12" t="s">
        <v>217</v>
      </c>
      <c r="C41" s="13">
        <v>1.5370370370370369E-2</v>
      </c>
      <c r="D41" s="14" t="s">
        <v>513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462</v>
      </c>
      <c r="C42" s="13">
        <v>1.579861111111111E-2</v>
      </c>
      <c r="D42" s="14" t="s">
        <v>45</v>
      </c>
      <c r="F42" s="30" t="s">
        <v>790</v>
      </c>
      <c r="G42" s="66" cm="1">
        <f t="array" ref="G42">AVERAGE(VALUE(LEFT(B12:B82, LEN(B12:B82) - 3)))</f>
        <v>94.25352112676056</v>
      </c>
      <c r="H42" s="49"/>
    </row>
    <row r="43" spans="1:8" x14ac:dyDescent="0.35">
      <c r="A43" s="11">
        <v>0.41</v>
      </c>
      <c r="B43" s="12" t="s">
        <v>354</v>
      </c>
      <c r="C43" s="13">
        <v>1.622685185185185E-2</v>
      </c>
      <c r="D43" s="14" t="s">
        <v>439</v>
      </c>
      <c r="F43" s="49"/>
      <c r="G43" s="49"/>
      <c r="H43" s="49"/>
    </row>
    <row r="44" spans="1:8" x14ac:dyDescent="0.35">
      <c r="A44" s="11">
        <v>0.42</v>
      </c>
      <c r="B44" s="12" t="s">
        <v>462</v>
      </c>
      <c r="C44" s="13">
        <v>1.6655092592592593E-2</v>
      </c>
      <c r="D44" s="14" t="s">
        <v>514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462</v>
      </c>
      <c r="C45" s="13">
        <v>1.7083333333333336E-2</v>
      </c>
      <c r="D45" s="14" t="s">
        <v>515</v>
      </c>
      <c r="F45" s="21" t="s">
        <v>118</v>
      </c>
      <c r="G45" s="31">
        <f>ROUNDUP(G21,0)*G4</f>
        <v>10</v>
      </c>
      <c r="H45" s="49"/>
    </row>
    <row r="46" spans="1:8" x14ac:dyDescent="0.35">
      <c r="A46" s="11">
        <v>0.44</v>
      </c>
      <c r="B46" s="12" t="s">
        <v>462</v>
      </c>
      <c r="C46" s="13">
        <v>1.7511574074074072E-2</v>
      </c>
      <c r="D46" s="14" t="s">
        <v>516</v>
      </c>
      <c r="F46" s="30" t="s">
        <v>119</v>
      </c>
      <c r="G46" s="32">
        <f>G3+G45</f>
        <v>1010</v>
      </c>
      <c r="H46" s="49"/>
    </row>
    <row r="47" spans="1:8" x14ac:dyDescent="0.35">
      <c r="A47" s="11">
        <v>0.45</v>
      </c>
      <c r="B47" s="12" t="s">
        <v>294</v>
      </c>
      <c r="C47" s="13">
        <v>1.7962962962962962E-2</v>
      </c>
      <c r="D47" s="14" t="s">
        <v>517</v>
      </c>
      <c r="F47" s="21" t="s">
        <v>121</v>
      </c>
      <c r="G47" s="31">
        <f>(J4*G8)</f>
        <v>285</v>
      </c>
      <c r="H47" s="49"/>
    </row>
    <row r="48" spans="1:8" x14ac:dyDescent="0.35">
      <c r="A48" s="11">
        <v>0.46</v>
      </c>
      <c r="B48" s="12" t="s">
        <v>226</v>
      </c>
      <c r="C48" s="13">
        <v>1.8425925925925925E-2</v>
      </c>
      <c r="D48" s="14" t="s">
        <v>518</v>
      </c>
      <c r="F48" s="5" t="s">
        <v>120</v>
      </c>
      <c r="G48" s="32">
        <f>G46-G47</f>
        <v>725</v>
      </c>
      <c r="H48" s="49"/>
    </row>
    <row r="49" spans="1:8" x14ac:dyDescent="0.35">
      <c r="A49" s="11">
        <v>0.47</v>
      </c>
      <c r="B49" s="12" t="s">
        <v>230</v>
      </c>
      <c r="C49" s="13">
        <v>1.892361111111111E-2</v>
      </c>
      <c r="D49" s="14" t="s">
        <v>52</v>
      </c>
      <c r="F49" s="21" t="s">
        <v>123</v>
      </c>
      <c r="G49" s="31">
        <f>G21*(J4*(G10-G9))</f>
        <v>749.99999999999989</v>
      </c>
      <c r="H49" s="49"/>
    </row>
    <row r="50" spans="1:8" x14ac:dyDescent="0.35">
      <c r="A50" s="11">
        <v>0.48</v>
      </c>
      <c r="B50" s="12" t="s">
        <v>232</v>
      </c>
      <c r="C50" s="13">
        <v>1.9444444444444445E-2</v>
      </c>
      <c r="D50" s="14" t="s">
        <v>222</v>
      </c>
      <c r="F50" s="30" t="s">
        <v>122</v>
      </c>
      <c r="G50" s="32">
        <f>ABS(G48-G49)</f>
        <v>24.999999999999886</v>
      </c>
      <c r="H50" s="49"/>
    </row>
    <row r="51" spans="1:8" x14ac:dyDescent="0.35">
      <c r="A51" s="11">
        <v>0.49</v>
      </c>
      <c r="B51" s="12" t="s">
        <v>367</v>
      </c>
      <c r="C51" s="13">
        <v>1.996527777777778E-2</v>
      </c>
      <c r="D51" s="14" t="s">
        <v>519</v>
      </c>
    </row>
    <row r="52" spans="1:8" x14ac:dyDescent="0.35">
      <c r="A52" s="11">
        <v>0.5</v>
      </c>
      <c r="B52" s="12" t="s">
        <v>235</v>
      </c>
      <c r="C52" s="13">
        <v>2.0497685185185185E-2</v>
      </c>
      <c r="D52" s="14" t="s">
        <v>520</v>
      </c>
    </row>
    <row r="53" spans="1:8" x14ac:dyDescent="0.35">
      <c r="A53" s="11">
        <v>0.51</v>
      </c>
      <c r="B53" s="12" t="s">
        <v>235</v>
      </c>
      <c r="C53" s="13">
        <v>2.1030092592592597E-2</v>
      </c>
      <c r="D53" s="14" t="s">
        <v>521</v>
      </c>
    </row>
    <row r="54" spans="1:8" x14ac:dyDescent="0.35">
      <c r="A54" s="11">
        <v>0.52</v>
      </c>
      <c r="B54" s="12" t="s">
        <v>235</v>
      </c>
      <c r="C54" s="13">
        <v>2.1574074074074075E-2</v>
      </c>
      <c r="D54" s="14" t="s">
        <v>522</v>
      </c>
    </row>
    <row r="55" spans="1:8" x14ac:dyDescent="0.35">
      <c r="A55" s="11">
        <v>0.53</v>
      </c>
      <c r="B55" s="12" t="s">
        <v>235</v>
      </c>
      <c r="C55" s="13">
        <v>2.210648148148148E-2</v>
      </c>
      <c r="D55" s="14" t="s">
        <v>55</v>
      </c>
    </row>
    <row r="56" spans="1:8" x14ac:dyDescent="0.35">
      <c r="A56" s="11">
        <v>0.54</v>
      </c>
      <c r="B56" s="12" t="s">
        <v>237</v>
      </c>
      <c r="C56" s="13">
        <v>2.2638888888888889E-2</v>
      </c>
      <c r="D56" s="14" t="s">
        <v>523</v>
      </c>
    </row>
    <row r="57" spans="1:8" x14ac:dyDescent="0.35">
      <c r="A57" s="11">
        <v>0.55000000000000004</v>
      </c>
      <c r="B57" s="12" t="s">
        <v>235</v>
      </c>
      <c r="C57" s="13">
        <v>2.3182870370370371E-2</v>
      </c>
      <c r="D57" s="14" t="s">
        <v>236</v>
      </c>
    </row>
    <row r="58" spans="1:8" x14ac:dyDescent="0.35">
      <c r="A58" s="11">
        <v>0.56000000000000005</v>
      </c>
      <c r="B58" s="12" t="s">
        <v>235</v>
      </c>
      <c r="C58" s="13">
        <v>2.3715277777777776E-2</v>
      </c>
      <c r="D58" s="14" t="s">
        <v>524</v>
      </c>
    </row>
    <row r="59" spans="1:8" x14ac:dyDescent="0.35">
      <c r="A59" s="11">
        <v>0.56999999999999995</v>
      </c>
      <c r="B59" s="12" t="s">
        <v>235</v>
      </c>
      <c r="C59" s="13">
        <v>2.4247685185185181E-2</v>
      </c>
      <c r="D59" s="14" t="s">
        <v>454</v>
      </c>
    </row>
    <row r="60" spans="1:8" x14ac:dyDescent="0.35">
      <c r="A60" s="11">
        <v>0.57999999999999996</v>
      </c>
      <c r="B60" s="12" t="s">
        <v>367</v>
      </c>
      <c r="C60" s="13">
        <v>2.478009259259259E-2</v>
      </c>
      <c r="D60" s="14" t="s">
        <v>525</v>
      </c>
    </row>
    <row r="61" spans="1:8" x14ac:dyDescent="0.35">
      <c r="A61" s="11">
        <v>0.59</v>
      </c>
      <c r="B61" s="12" t="s">
        <v>367</v>
      </c>
      <c r="C61" s="13">
        <v>2.5312500000000002E-2</v>
      </c>
      <c r="D61" s="14" t="s">
        <v>526</v>
      </c>
    </row>
    <row r="62" spans="1:8" x14ac:dyDescent="0.35">
      <c r="A62" s="11">
        <v>0.6</v>
      </c>
      <c r="B62" s="12" t="s">
        <v>235</v>
      </c>
      <c r="C62" s="13">
        <v>2.584490740740741E-2</v>
      </c>
      <c r="D62" s="14" t="s">
        <v>62</v>
      </c>
    </row>
    <row r="63" spans="1:8" x14ac:dyDescent="0.35">
      <c r="A63" s="11">
        <v>0.61</v>
      </c>
      <c r="B63" s="12" t="s">
        <v>367</v>
      </c>
      <c r="C63" s="13">
        <v>2.6377314814814815E-2</v>
      </c>
      <c r="D63" s="14" t="s">
        <v>249</v>
      </c>
    </row>
    <row r="64" spans="1:8" x14ac:dyDescent="0.35">
      <c r="A64" s="11">
        <v>0.62</v>
      </c>
      <c r="B64" s="12" t="s">
        <v>367</v>
      </c>
      <c r="C64" s="13">
        <v>2.6909722222222224E-2</v>
      </c>
      <c r="D64" s="14" t="s">
        <v>362</v>
      </c>
    </row>
    <row r="65" spans="1:4" x14ac:dyDescent="0.35">
      <c r="A65" s="11">
        <v>0.63</v>
      </c>
      <c r="B65" s="12" t="s">
        <v>367</v>
      </c>
      <c r="C65" s="13">
        <v>2.7430555555555555E-2</v>
      </c>
      <c r="D65" s="14" t="s">
        <v>527</v>
      </c>
    </row>
    <row r="66" spans="1:4" x14ac:dyDescent="0.35">
      <c r="A66" s="11">
        <v>0.64</v>
      </c>
      <c r="B66" s="12" t="s">
        <v>367</v>
      </c>
      <c r="C66" s="13">
        <v>2.7962962962962964E-2</v>
      </c>
      <c r="D66" s="14" t="s">
        <v>528</v>
      </c>
    </row>
    <row r="67" spans="1:4" x14ac:dyDescent="0.35">
      <c r="A67" s="11">
        <v>0.65</v>
      </c>
      <c r="B67" s="12" t="s">
        <v>367</v>
      </c>
      <c r="C67" s="13">
        <v>2.8495370370370369E-2</v>
      </c>
      <c r="D67" s="14" t="s">
        <v>529</v>
      </c>
    </row>
    <row r="68" spans="1:4" x14ac:dyDescent="0.35">
      <c r="A68" s="11">
        <v>0.66</v>
      </c>
      <c r="B68" s="12" t="s">
        <v>232</v>
      </c>
      <c r="C68" s="13">
        <v>2.90162037037037E-2</v>
      </c>
      <c r="D68" s="14" t="s">
        <v>530</v>
      </c>
    </row>
    <row r="69" spans="1:4" x14ac:dyDescent="0.35">
      <c r="A69" s="11">
        <v>0.67</v>
      </c>
      <c r="B69" s="12" t="s">
        <v>232</v>
      </c>
      <c r="C69" s="13">
        <v>2.9537037037037039E-2</v>
      </c>
      <c r="D69" s="14" t="s">
        <v>71</v>
      </c>
    </row>
    <row r="70" spans="1:4" x14ac:dyDescent="0.35">
      <c r="A70" s="11">
        <v>0.68</v>
      </c>
      <c r="B70" s="12" t="s">
        <v>235</v>
      </c>
      <c r="C70" s="13">
        <v>3.006944444444444E-2</v>
      </c>
      <c r="D70" s="14" t="s">
        <v>531</v>
      </c>
    </row>
    <row r="71" spans="1:4" x14ac:dyDescent="0.35">
      <c r="A71" s="11">
        <v>0.69</v>
      </c>
      <c r="B71" s="12" t="s">
        <v>235</v>
      </c>
      <c r="C71" s="13">
        <v>3.0601851851851852E-2</v>
      </c>
      <c r="D71" s="14" t="s">
        <v>532</v>
      </c>
    </row>
    <row r="72" spans="1:4" x14ac:dyDescent="0.35">
      <c r="A72" s="11">
        <v>0.7</v>
      </c>
      <c r="B72" s="12" t="s">
        <v>235</v>
      </c>
      <c r="C72" s="13">
        <v>3.1134259259259261E-2</v>
      </c>
      <c r="D72" s="14" t="s">
        <v>533</v>
      </c>
    </row>
    <row r="73" spans="1:4" x14ac:dyDescent="0.35">
      <c r="A73" s="11">
        <v>0.71</v>
      </c>
      <c r="B73" s="12" t="s">
        <v>235</v>
      </c>
      <c r="C73" s="13">
        <v>3.1666666666666669E-2</v>
      </c>
      <c r="D73" s="14" t="s">
        <v>534</v>
      </c>
    </row>
    <row r="74" spans="1:4" x14ac:dyDescent="0.35">
      <c r="A74" s="11">
        <v>0.72</v>
      </c>
      <c r="B74" s="12" t="s">
        <v>367</v>
      </c>
      <c r="C74" s="13">
        <v>3.2199074074074074E-2</v>
      </c>
      <c r="D74" s="14" t="s">
        <v>471</v>
      </c>
    </row>
    <row r="75" spans="1:4" x14ac:dyDescent="0.35">
      <c r="A75" s="11">
        <v>0.73</v>
      </c>
      <c r="B75" s="12" t="s">
        <v>367</v>
      </c>
      <c r="C75" s="13">
        <v>3.2731481481481479E-2</v>
      </c>
      <c r="D75" s="14" t="s">
        <v>85</v>
      </c>
    </row>
    <row r="76" spans="1:4" x14ac:dyDescent="0.35">
      <c r="A76" s="11">
        <v>0.74</v>
      </c>
      <c r="B76" s="12" t="s">
        <v>367</v>
      </c>
      <c r="C76" s="13">
        <v>3.3263888888888891E-2</v>
      </c>
      <c r="D76" s="14" t="s">
        <v>535</v>
      </c>
    </row>
    <row r="77" spans="1:4" x14ac:dyDescent="0.35">
      <c r="A77" s="11">
        <v>0.75</v>
      </c>
      <c r="B77" s="12" t="s">
        <v>367</v>
      </c>
      <c r="C77" s="13">
        <v>3.3784722222222223E-2</v>
      </c>
      <c r="D77" s="14" t="s">
        <v>536</v>
      </c>
    </row>
    <row r="78" spans="1:4" x14ac:dyDescent="0.35">
      <c r="A78" s="11">
        <v>0.76</v>
      </c>
      <c r="B78" s="12" t="s">
        <v>367</v>
      </c>
      <c r="C78" s="13">
        <v>3.4317129629629628E-2</v>
      </c>
      <c r="D78" s="14" t="s">
        <v>537</v>
      </c>
    </row>
    <row r="79" spans="1:4" x14ac:dyDescent="0.35">
      <c r="A79" s="11">
        <v>0.77</v>
      </c>
      <c r="B79" s="12" t="s">
        <v>232</v>
      </c>
      <c r="C79" s="13">
        <v>3.4837962962962959E-2</v>
      </c>
      <c r="D79" s="14" t="s">
        <v>477</v>
      </c>
    </row>
    <row r="80" spans="1:4" x14ac:dyDescent="0.35">
      <c r="A80" s="11">
        <v>0.78</v>
      </c>
      <c r="B80" s="12" t="s">
        <v>232</v>
      </c>
      <c r="C80" s="13">
        <v>3.5358796296296298E-2</v>
      </c>
      <c r="D80" s="14" t="s">
        <v>538</v>
      </c>
    </row>
    <row r="81" spans="1:4" x14ac:dyDescent="0.35">
      <c r="A81" s="11">
        <v>0.79</v>
      </c>
      <c r="B81" s="12" t="s">
        <v>235</v>
      </c>
      <c r="C81" s="13">
        <v>3.5891203703703703E-2</v>
      </c>
      <c r="D81" s="14" t="s">
        <v>273</v>
      </c>
    </row>
    <row r="82" spans="1:4" x14ac:dyDescent="0.35">
      <c r="A82" s="11">
        <v>0.8</v>
      </c>
      <c r="B82" s="12" t="s">
        <v>539</v>
      </c>
      <c r="C82" s="13">
        <v>3.681712962962963E-2</v>
      </c>
      <c r="D82" s="14" t="s">
        <v>94</v>
      </c>
    </row>
    <row r="83" spans="1:4" x14ac:dyDescent="0.35">
      <c r="A83" s="11">
        <v>0.81</v>
      </c>
      <c r="B83" s="12" t="s">
        <v>540</v>
      </c>
      <c r="C83" s="13">
        <v>4.040509259259259E-2</v>
      </c>
      <c r="D83" s="14" t="s">
        <v>541</v>
      </c>
    </row>
    <row r="84" spans="1:4" x14ac:dyDescent="0.35">
      <c r="A84" s="11">
        <v>0.82</v>
      </c>
      <c r="B84" s="12" t="s">
        <v>540</v>
      </c>
      <c r="C84" s="13">
        <v>4.4155092592592593E-2</v>
      </c>
      <c r="D84" s="14" t="s">
        <v>542</v>
      </c>
    </row>
    <row r="85" spans="1:4" x14ac:dyDescent="0.35">
      <c r="A85" s="11">
        <v>0.83</v>
      </c>
      <c r="B85" s="12" t="s">
        <v>540</v>
      </c>
      <c r="C85" s="13">
        <v>4.7893518518518523E-2</v>
      </c>
      <c r="D85" s="14" t="s">
        <v>543</v>
      </c>
    </row>
    <row r="86" spans="1:4" x14ac:dyDescent="0.35">
      <c r="A86" s="11">
        <v>0.84</v>
      </c>
      <c r="B86" s="12" t="s">
        <v>540</v>
      </c>
      <c r="C86" s="13">
        <v>5.1643518518518526E-2</v>
      </c>
      <c r="D86" s="14" t="s">
        <v>544</v>
      </c>
    </row>
    <row r="87" spans="1:4" x14ac:dyDescent="0.35">
      <c r="A87" s="11">
        <v>0.85</v>
      </c>
      <c r="B87" s="12" t="s">
        <v>539</v>
      </c>
      <c r="C87" s="13">
        <v>5.5231481481481486E-2</v>
      </c>
      <c r="D87" s="14" t="s">
        <v>285</v>
      </c>
    </row>
    <row r="88" spans="1:4" x14ac:dyDescent="0.35">
      <c r="A88" s="11">
        <v>0.86</v>
      </c>
      <c r="B88" s="12" t="s">
        <v>539</v>
      </c>
      <c r="C88" s="13">
        <v>5.8668981481481482E-2</v>
      </c>
      <c r="D88" s="14" t="s">
        <v>545</v>
      </c>
    </row>
    <row r="89" spans="1:4" x14ac:dyDescent="0.35">
      <c r="A89" s="11">
        <v>0.87</v>
      </c>
      <c r="B89" s="12" t="s">
        <v>539</v>
      </c>
      <c r="C89" s="13">
        <v>6.2141203703703705E-2</v>
      </c>
      <c r="D89" s="14" t="s">
        <v>95</v>
      </c>
    </row>
    <row r="90" spans="1:4" x14ac:dyDescent="0.35">
      <c r="A90" s="11">
        <v>0.88</v>
      </c>
      <c r="B90" s="12" t="s">
        <v>539</v>
      </c>
      <c r="C90" s="13">
        <v>6.5625000000000003E-2</v>
      </c>
      <c r="D90" s="14" t="s">
        <v>546</v>
      </c>
    </row>
    <row r="91" spans="1:4" x14ac:dyDescent="0.35">
      <c r="A91" s="11">
        <v>0.89</v>
      </c>
      <c r="B91" s="12" t="s">
        <v>539</v>
      </c>
      <c r="C91" s="13">
        <v>6.9120370370370374E-2</v>
      </c>
      <c r="D91" s="14" t="s">
        <v>547</v>
      </c>
    </row>
    <row r="92" spans="1:4" x14ac:dyDescent="0.35">
      <c r="A92" s="11">
        <v>0.9</v>
      </c>
      <c r="B92" s="12" t="s">
        <v>539</v>
      </c>
      <c r="C92" s="13">
        <v>7.2650462962962958E-2</v>
      </c>
      <c r="D92" s="14" t="s">
        <v>548</v>
      </c>
    </row>
    <row r="93" spans="1:4" x14ac:dyDescent="0.35">
      <c r="A93" s="11">
        <v>0.91</v>
      </c>
      <c r="B93" s="12" t="s">
        <v>539</v>
      </c>
      <c r="C93" s="13">
        <v>7.6192129629629637E-2</v>
      </c>
      <c r="D93" s="14" t="s">
        <v>549</v>
      </c>
    </row>
    <row r="94" spans="1:4" x14ac:dyDescent="0.35">
      <c r="A94" s="11">
        <v>0.92</v>
      </c>
      <c r="B94" s="12" t="s">
        <v>539</v>
      </c>
      <c r="C94" s="13">
        <v>7.9756944444444436E-2</v>
      </c>
      <c r="D94" s="14" t="s">
        <v>550</v>
      </c>
    </row>
    <row r="95" spans="1:4" x14ac:dyDescent="0.35">
      <c r="A95" s="11">
        <v>0.93</v>
      </c>
      <c r="B95" s="12" t="s">
        <v>540</v>
      </c>
      <c r="C95" s="13">
        <v>8.3333333333333329E-2</v>
      </c>
      <c r="D95" s="14" t="s">
        <v>551</v>
      </c>
    </row>
    <row r="96" spans="1:4" x14ac:dyDescent="0.35">
      <c r="A96" s="11">
        <v>0.94</v>
      </c>
      <c r="B96" s="12" t="s">
        <v>540</v>
      </c>
      <c r="C96" s="13">
        <v>8.6944444444444449E-2</v>
      </c>
      <c r="D96" s="14" t="s">
        <v>552</v>
      </c>
    </row>
    <row r="97" spans="1:4" x14ac:dyDescent="0.35">
      <c r="A97" s="11">
        <v>0.95</v>
      </c>
      <c r="B97" s="12" t="s">
        <v>540</v>
      </c>
      <c r="C97" s="13">
        <v>9.0567129629629636E-2</v>
      </c>
      <c r="D97" s="14" t="s">
        <v>553</v>
      </c>
    </row>
    <row r="98" spans="1:4" x14ac:dyDescent="0.35">
      <c r="A98" s="11">
        <v>0.96</v>
      </c>
      <c r="B98" s="12" t="s">
        <v>540</v>
      </c>
      <c r="C98" s="13">
        <v>9.4212962962962957E-2</v>
      </c>
      <c r="D98" s="14" t="s">
        <v>554</v>
      </c>
    </row>
    <row r="99" spans="1:4" x14ac:dyDescent="0.35">
      <c r="A99" s="11">
        <v>0.97</v>
      </c>
      <c r="B99" s="12" t="s">
        <v>540</v>
      </c>
      <c r="C99" s="13">
        <v>9.7881944444444438E-2</v>
      </c>
      <c r="D99" s="14" t="s">
        <v>555</v>
      </c>
    </row>
    <row r="100" spans="1:4" x14ac:dyDescent="0.35">
      <c r="A100" s="11">
        <v>0.98</v>
      </c>
      <c r="B100" s="12" t="s">
        <v>540</v>
      </c>
      <c r="C100" s="13">
        <v>0.10157407407407408</v>
      </c>
      <c r="D100" s="14" t="s">
        <v>556</v>
      </c>
    </row>
    <row r="101" spans="1:4" x14ac:dyDescent="0.35">
      <c r="A101" s="11">
        <v>0.99</v>
      </c>
      <c r="B101" s="12" t="s">
        <v>540</v>
      </c>
      <c r="C101" s="13">
        <v>0.10528935185185184</v>
      </c>
      <c r="D101" s="14" t="s">
        <v>557</v>
      </c>
    </row>
    <row r="102" spans="1:4" ht="15" thickBot="1" x14ac:dyDescent="0.4">
      <c r="A102" s="15">
        <v>1</v>
      </c>
      <c r="B102" s="16" t="s">
        <v>540</v>
      </c>
      <c r="C102" s="17">
        <v>0.10902777777777778</v>
      </c>
      <c r="D102" s="18" t="s">
        <v>558</v>
      </c>
    </row>
    <row r="103" spans="1:4" x14ac:dyDescent="0.35">
      <c r="D10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A7FF-9AA5-4171-9D0A-4E5FDF875BE5}">
  <dimension ref="A1:J103"/>
  <sheetViews>
    <sheetView topLeftCell="A23" zoomScaleNormal="100" workbookViewId="0">
      <selection activeCell="F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292</v>
      </c>
      <c r="C2" s="9">
        <v>0</v>
      </c>
      <c r="D2" s="10" t="s">
        <v>1</v>
      </c>
      <c r="F2" s="4" t="s">
        <v>101</v>
      </c>
      <c r="G2" s="27" t="s">
        <v>117</v>
      </c>
      <c r="I2" s="4" t="s">
        <v>102</v>
      </c>
      <c r="J2" s="4"/>
    </row>
    <row r="3" spans="1:10" ht="15" thickBot="1" x14ac:dyDescent="0.4">
      <c r="A3" s="11">
        <v>0.01</v>
      </c>
      <c r="B3" s="12" t="s">
        <v>321</v>
      </c>
      <c r="C3" s="13">
        <v>3.8194444444444446E-4</v>
      </c>
      <c r="D3" s="14" t="s">
        <v>698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695</v>
      </c>
    </row>
    <row r="4" spans="1:10" ht="15" thickBot="1" x14ac:dyDescent="0.4">
      <c r="A4" s="11">
        <v>0.02</v>
      </c>
      <c r="B4" s="12" t="s">
        <v>310</v>
      </c>
      <c r="C4" s="13">
        <v>6.8287037037037025E-4</v>
      </c>
      <c r="D4" s="14" t="s">
        <v>699</v>
      </c>
      <c r="F4" s="21" t="s">
        <v>115</v>
      </c>
      <c r="G4" s="39">
        <f>Summary!H3</f>
        <v>2.5</v>
      </c>
      <c r="I4" s="21" t="str">
        <f>"Vehicle Range @"&amp;G6&amp; "mph - Perfect Condition (Miles)"</f>
        <v>Vehicle Range @70mph - Perfect Condition (Miles)</v>
      </c>
      <c r="J4" s="61">
        <v>196</v>
      </c>
    </row>
    <row r="5" spans="1:10" ht="15" thickBot="1" x14ac:dyDescent="0.4">
      <c r="A5" s="11">
        <v>0.03</v>
      </c>
      <c r="B5" s="12" t="s">
        <v>645</v>
      </c>
      <c r="C5" s="13">
        <v>9.6064814814814808E-4</v>
      </c>
      <c r="D5" s="14" t="s">
        <v>700</v>
      </c>
      <c r="F5" s="21" t="s">
        <v>98</v>
      </c>
      <c r="G5" s="38">
        <f>Summary!H4</f>
        <v>25</v>
      </c>
      <c r="H5" s="23"/>
      <c r="I5" s="6" t="s">
        <v>108</v>
      </c>
      <c r="J5" s="20" t="s">
        <v>696</v>
      </c>
    </row>
    <row r="6" spans="1:10" ht="15" thickBot="1" x14ac:dyDescent="0.4">
      <c r="A6" s="11">
        <v>0.04</v>
      </c>
      <c r="B6" s="12" t="s">
        <v>649</v>
      </c>
      <c r="C6" s="13">
        <v>1.25E-3</v>
      </c>
      <c r="D6" s="14" t="s">
        <v>701</v>
      </c>
      <c r="F6" s="21" t="s">
        <v>97</v>
      </c>
      <c r="G6" s="38">
        <f>Summary!H5</f>
        <v>70</v>
      </c>
      <c r="H6" s="23"/>
      <c r="I6" s="6" t="s">
        <v>106</v>
      </c>
      <c r="J6" s="20" t="s">
        <v>697</v>
      </c>
    </row>
    <row r="7" spans="1:10" x14ac:dyDescent="0.35">
      <c r="A7" s="11">
        <v>0.05</v>
      </c>
      <c r="B7" s="12" t="s">
        <v>649</v>
      </c>
      <c r="C7" s="13">
        <v>1.5277777777777779E-3</v>
      </c>
      <c r="D7" s="14" t="s">
        <v>702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171</v>
      </c>
      <c r="C8" s="13">
        <v>1.8055555555555557E-3</v>
      </c>
      <c r="D8" s="14" t="s">
        <v>567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171</v>
      </c>
      <c r="C9" s="13">
        <v>2.0833333333333333E-3</v>
      </c>
      <c r="D9" s="14" t="s">
        <v>409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196</v>
      </c>
    </row>
    <row r="10" spans="1:10" x14ac:dyDescent="0.35">
      <c r="A10" s="11">
        <v>0.08</v>
      </c>
      <c r="B10" s="12" t="s">
        <v>621</v>
      </c>
      <c r="C10" s="13">
        <v>2.3726851851851851E-3</v>
      </c>
      <c r="D10" s="14" t="s">
        <v>703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2</v>
      </c>
    </row>
    <row r="11" spans="1:10" x14ac:dyDescent="0.35">
      <c r="A11" s="11">
        <v>0.09</v>
      </c>
      <c r="B11" s="12" t="s">
        <v>621</v>
      </c>
      <c r="C11" s="13">
        <v>2.6504629629629625E-3</v>
      </c>
      <c r="D11" s="14" t="s">
        <v>704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118.71830985915493</v>
      </c>
    </row>
    <row r="12" spans="1:10" x14ac:dyDescent="0.35">
      <c r="A12" s="11">
        <v>0.1</v>
      </c>
      <c r="B12" s="12" t="s">
        <v>621</v>
      </c>
      <c r="C12" s="13">
        <v>2.9282407407407412E-3</v>
      </c>
      <c r="D12" s="14" t="s">
        <v>705</v>
      </c>
      <c r="F12" s="21" t="s">
        <v>772</v>
      </c>
      <c r="G12" s="41">
        <f>Summary!H11</f>
        <v>0.46</v>
      </c>
      <c r="I12" s="28"/>
    </row>
    <row r="13" spans="1:10" x14ac:dyDescent="0.35">
      <c r="A13" s="11">
        <v>0.11</v>
      </c>
      <c r="B13" s="12" t="s">
        <v>706</v>
      </c>
      <c r="C13" s="13">
        <v>3.1944444444444442E-3</v>
      </c>
      <c r="D13" s="14" t="s">
        <v>414</v>
      </c>
      <c r="I13" s="29"/>
    </row>
    <row r="14" spans="1:10" x14ac:dyDescent="0.35">
      <c r="A14" s="11">
        <v>0.12</v>
      </c>
      <c r="B14" s="12" t="s">
        <v>332</v>
      </c>
      <c r="C14" s="13">
        <v>3.5069444444444445E-3</v>
      </c>
      <c r="D14" s="14" t="s">
        <v>145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332</v>
      </c>
      <c r="C15" s="13">
        <v>3.8425925925925923E-3</v>
      </c>
      <c r="D15" s="14" t="s">
        <v>707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0.62555555555555542</v>
      </c>
      <c r="H15" s="57">
        <f>G15/24</f>
        <v>2.6064814814814808E-2</v>
      </c>
    </row>
    <row r="16" spans="1:10" x14ac:dyDescent="0.35">
      <c r="A16" s="11">
        <v>0.14000000000000001</v>
      </c>
      <c r="B16" s="12" t="s">
        <v>332</v>
      </c>
      <c r="C16" s="13">
        <v>4.1782407407407402E-3</v>
      </c>
      <c r="D16" s="14" t="s">
        <v>708</v>
      </c>
      <c r="G16" s="49"/>
      <c r="H16" s="49"/>
    </row>
    <row r="17" spans="1:8" x14ac:dyDescent="0.35">
      <c r="A17" s="11">
        <v>0.15</v>
      </c>
      <c r="B17" s="12" t="s">
        <v>332</v>
      </c>
      <c r="C17" s="13">
        <v>4.5254629629629629E-3</v>
      </c>
      <c r="D17" s="14" t="s">
        <v>501</v>
      </c>
      <c r="F17" s="4" t="s">
        <v>694</v>
      </c>
      <c r="G17" s="27" t="s">
        <v>117</v>
      </c>
      <c r="H17" s="49"/>
    </row>
    <row r="18" spans="1:8" x14ac:dyDescent="0.35">
      <c r="A18" s="11">
        <v>0.16</v>
      </c>
      <c r="B18" s="12" t="s">
        <v>193</v>
      </c>
      <c r="C18" s="13">
        <v>4.8611111111111112E-3</v>
      </c>
      <c r="D18" s="14" t="s">
        <v>709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5.8600583090378997</v>
      </c>
      <c r="H18" s="49"/>
    </row>
    <row r="19" spans="1:8" x14ac:dyDescent="0.35">
      <c r="A19" s="11">
        <v>0.17</v>
      </c>
      <c r="B19" s="12" t="s">
        <v>193</v>
      </c>
      <c r="C19" s="13">
        <v>5.208333333333333E-3</v>
      </c>
      <c r="D19" s="14" t="s">
        <v>710</v>
      </c>
      <c r="F19" s="21" t="str">
        <f>"Number of Charges for "&amp;G5&amp;" Miles Remaing"</f>
        <v>Number of Charges for 25 Miles Remaing</v>
      </c>
      <c r="G19" s="26">
        <f>(G5/((J4*(G10-G9))))</f>
        <v>0.18221574344023322</v>
      </c>
      <c r="H19" s="49"/>
    </row>
    <row r="20" spans="1:8" x14ac:dyDescent="0.35">
      <c r="A20" s="11">
        <v>0.18</v>
      </c>
      <c r="B20" s="12" t="s">
        <v>193</v>
      </c>
      <c r="C20" s="13">
        <v>5.5555555555555558E-3</v>
      </c>
      <c r="D20" s="14" t="s">
        <v>711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0.12755102040816324</v>
      </c>
      <c r="H20" s="49"/>
    </row>
    <row r="21" spans="1:8" x14ac:dyDescent="0.35">
      <c r="A21" s="11">
        <v>0.19</v>
      </c>
      <c r="B21" s="12" t="s">
        <v>193</v>
      </c>
      <c r="C21" s="13">
        <v>5.8912037037037032E-3</v>
      </c>
      <c r="D21" s="14" t="s">
        <v>652</v>
      </c>
      <c r="F21" s="21" t="s">
        <v>770</v>
      </c>
      <c r="G21" s="26">
        <f>SUM(G18:G20)</f>
        <v>6.1698250728862964</v>
      </c>
      <c r="H21" s="49"/>
    </row>
    <row r="22" spans="1:8" x14ac:dyDescent="0.35">
      <c r="A22" s="11">
        <v>0.2</v>
      </c>
      <c r="B22" s="12" t="s">
        <v>334</v>
      </c>
      <c r="C22" s="13">
        <v>6.238425925925925E-3</v>
      </c>
      <c r="D22" s="14" t="s">
        <v>317</v>
      </c>
      <c r="G22" s="49"/>
      <c r="H22" s="49"/>
    </row>
    <row r="23" spans="1:8" x14ac:dyDescent="0.35">
      <c r="A23" s="11">
        <v>0.21</v>
      </c>
      <c r="B23" s="12" t="s">
        <v>334</v>
      </c>
      <c r="C23" s="13">
        <v>6.5856481481481469E-3</v>
      </c>
      <c r="D23" s="14" t="s">
        <v>712</v>
      </c>
      <c r="F23" s="4" t="s">
        <v>773</v>
      </c>
      <c r="G23" s="27" t="s">
        <v>785</v>
      </c>
      <c r="H23" s="27" t="s">
        <v>786</v>
      </c>
    </row>
    <row r="24" spans="1:8" x14ac:dyDescent="0.35">
      <c r="A24" s="11">
        <v>0.22</v>
      </c>
      <c r="B24" s="12" t="s">
        <v>334</v>
      </c>
      <c r="C24" s="13">
        <v>6.9328703703703696E-3</v>
      </c>
      <c r="D24" s="14" t="s">
        <v>32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8" x14ac:dyDescent="0.35">
      <c r="A25" s="11">
        <v>0.23</v>
      </c>
      <c r="B25" s="12" t="s">
        <v>440</v>
      </c>
      <c r="C25" s="13">
        <v>7.2800925925925915E-3</v>
      </c>
      <c r="D25" s="14" t="s">
        <v>713</v>
      </c>
      <c r="E25" s="1"/>
      <c r="F25" s="34" t="s">
        <v>116</v>
      </c>
      <c r="G25" s="37">
        <f>ROUNDUP(G21,0)*((G4/G7))</f>
        <v>0.58333333333333326</v>
      </c>
      <c r="H25" s="57">
        <f>G25/24</f>
        <v>2.4305555555555552E-2</v>
      </c>
    </row>
    <row r="26" spans="1:8" x14ac:dyDescent="0.35">
      <c r="A26" s="11">
        <v>0.24</v>
      </c>
      <c r="B26" s="12" t="s">
        <v>440</v>
      </c>
      <c r="C26" s="13">
        <v>7.6273148148148151E-3</v>
      </c>
      <c r="D26" s="14" t="s">
        <v>714</v>
      </c>
      <c r="F26" s="34" t="s">
        <v>99</v>
      </c>
      <c r="G26" s="37">
        <f>G21*G15</f>
        <v>3.8595683511499823</v>
      </c>
      <c r="H26" s="57">
        <f>G26/24</f>
        <v>0.16081534796458261</v>
      </c>
    </row>
    <row r="27" spans="1:8" x14ac:dyDescent="0.35">
      <c r="A27" s="11">
        <v>0.25</v>
      </c>
      <c r="B27" s="12" t="s">
        <v>195</v>
      </c>
      <c r="C27" s="13">
        <v>7.9745370370370369E-3</v>
      </c>
      <c r="D27" s="14" t="s">
        <v>176</v>
      </c>
      <c r="F27" s="35" t="s">
        <v>112</v>
      </c>
      <c r="G27" s="36">
        <f>SUM(G24:G26)</f>
        <v>18.728615970197602</v>
      </c>
      <c r="H27" s="58">
        <f>G27/24</f>
        <v>0.78035899875823345</v>
      </c>
    </row>
    <row r="28" spans="1:8" x14ac:dyDescent="0.35">
      <c r="A28" s="11">
        <v>0.26</v>
      </c>
      <c r="B28" s="12" t="s">
        <v>195</v>
      </c>
      <c r="C28" s="13">
        <v>8.3333333333333332E-3</v>
      </c>
      <c r="D28" s="14" t="s">
        <v>327</v>
      </c>
    </row>
    <row r="29" spans="1:8" x14ac:dyDescent="0.35">
      <c r="A29" s="11">
        <v>0.27</v>
      </c>
      <c r="B29" s="12" t="s">
        <v>195</v>
      </c>
      <c r="C29" s="13">
        <v>8.6805555555555559E-3</v>
      </c>
      <c r="D29" s="14" t="s">
        <v>715</v>
      </c>
      <c r="F29" s="4" t="s">
        <v>781</v>
      </c>
      <c r="G29" s="27" t="s">
        <v>117</v>
      </c>
    </row>
    <row r="30" spans="1:8" x14ac:dyDescent="0.35">
      <c r="A30" s="11">
        <v>0.28000000000000003</v>
      </c>
      <c r="B30" s="12" t="s">
        <v>716</v>
      </c>
      <c r="C30" s="13">
        <v>9.0277777777777787E-3</v>
      </c>
      <c r="D30" s="14" t="s">
        <v>585</v>
      </c>
      <c r="F30" s="5" t="s">
        <v>774</v>
      </c>
      <c r="G30" s="44">
        <f>VALUE(LEFT((VLOOKUP(G8,$A$2:$D$102,4,FALSE)),LEN((VLOOKUP(G8,$A$2:$D$102,4,FALSE)))-4))</f>
        <v>98</v>
      </c>
    </row>
    <row r="31" spans="1:8" x14ac:dyDescent="0.35">
      <c r="A31" s="11">
        <v>0.28999999999999998</v>
      </c>
      <c r="B31" s="12" t="s">
        <v>716</v>
      </c>
      <c r="C31" s="13">
        <v>9.386574074074075E-3</v>
      </c>
      <c r="D31" s="14" t="s">
        <v>186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68.600000000000009</v>
      </c>
    </row>
    <row r="32" spans="1:8" x14ac:dyDescent="0.35">
      <c r="A32" s="11">
        <v>0.3</v>
      </c>
      <c r="B32" s="12" t="s">
        <v>716</v>
      </c>
      <c r="C32" s="13">
        <v>9.7453703703703713E-3</v>
      </c>
      <c r="D32" s="14" t="s">
        <v>508</v>
      </c>
      <c r="F32" s="5" t="s">
        <v>775</v>
      </c>
      <c r="G32" s="44">
        <f>(G21-G19)*G31</f>
        <v>410.75</v>
      </c>
      <c r="H32" s="2"/>
    </row>
    <row r="33" spans="1:8" x14ac:dyDescent="0.35">
      <c r="A33" s="11">
        <v>0.31</v>
      </c>
      <c r="B33" s="12" t="s">
        <v>197</v>
      </c>
      <c r="C33" s="13">
        <v>1.0092592592592592E-2</v>
      </c>
      <c r="D33" s="14" t="s">
        <v>42</v>
      </c>
      <c r="F33" s="30" t="s">
        <v>776</v>
      </c>
      <c r="G33" s="45">
        <f>G30*G11</f>
        <v>16.601199999999999</v>
      </c>
    </row>
    <row r="34" spans="1:8" x14ac:dyDescent="0.35">
      <c r="A34" s="11">
        <v>0.32</v>
      </c>
      <c r="B34" s="12" t="s">
        <v>197</v>
      </c>
      <c r="C34" s="13">
        <v>1.045138888888889E-2</v>
      </c>
      <c r="D34" s="14" t="s">
        <v>336</v>
      </c>
      <c r="F34" s="30" t="s">
        <v>777</v>
      </c>
      <c r="G34" s="45">
        <f>G32*G12</f>
        <v>188.94500000000002</v>
      </c>
      <c r="H34" s="29"/>
    </row>
    <row r="35" spans="1:8" x14ac:dyDescent="0.35">
      <c r="A35" s="11">
        <v>0.33</v>
      </c>
      <c r="B35" s="12" t="s">
        <v>199</v>
      </c>
      <c r="C35" s="13">
        <v>1.0810185185185185E-2</v>
      </c>
      <c r="D35" s="14" t="s">
        <v>337</v>
      </c>
      <c r="F35" s="30" t="s">
        <v>778</v>
      </c>
      <c r="G35" s="67">
        <f>SUM(G33:G34)</f>
        <v>205.54620000000003</v>
      </c>
    </row>
    <row r="36" spans="1:8" x14ac:dyDescent="0.35">
      <c r="A36" s="11">
        <v>0.34</v>
      </c>
      <c r="B36" s="12" t="s">
        <v>199</v>
      </c>
      <c r="C36" s="13">
        <v>1.1168981481481481E-2</v>
      </c>
      <c r="D36" s="14" t="s">
        <v>593</v>
      </c>
    </row>
    <row r="37" spans="1:8" x14ac:dyDescent="0.35">
      <c r="A37" s="11">
        <v>0.35</v>
      </c>
      <c r="B37" s="12" t="s">
        <v>199</v>
      </c>
      <c r="C37" s="13">
        <v>1.1527777777777777E-2</v>
      </c>
      <c r="D37" s="14" t="s">
        <v>717</v>
      </c>
      <c r="F37" s="4" t="s">
        <v>788</v>
      </c>
      <c r="G37" s="27" t="s">
        <v>117</v>
      </c>
    </row>
    <row r="38" spans="1:8" x14ac:dyDescent="0.35">
      <c r="A38" s="11">
        <v>0.36</v>
      </c>
      <c r="B38" s="12" t="s">
        <v>338</v>
      </c>
      <c r="C38" s="13">
        <v>1.1898148148148149E-2</v>
      </c>
      <c r="D38" s="14" t="s">
        <v>718</v>
      </c>
      <c r="F38" s="30" t="str">
        <f>"Fuel Efficiency @"&amp;$G$6&amp; "mph (Miles/kWh)"</f>
        <v>Fuel Efficiency @70mph (Miles/kWh)</v>
      </c>
      <c r="G38" s="66">
        <f>($J$4*($G$10-$G$9))/$G$31</f>
        <v>2</v>
      </c>
    </row>
    <row r="39" spans="1:8" x14ac:dyDescent="0.35">
      <c r="A39" s="11">
        <v>0.37</v>
      </c>
      <c r="B39" s="12" t="s">
        <v>338</v>
      </c>
      <c r="C39" s="13">
        <v>1.2256944444444444E-2</v>
      </c>
      <c r="D39" s="14" t="s">
        <v>204</v>
      </c>
      <c r="F39" s="30" t="str">
        <f>"Fuel Efficiency @"&amp;$G$6&amp; "mph (kWh/100 mi)"</f>
        <v>Fuel Efficiency @70mph (kWh/100 mi)</v>
      </c>
      <c r="G39" s="66">
        <f>(1/G38)*100</f>
        <v>50</v>
      </c>
    </row>
    <row r="40" spans="1:8" x14ac:dyDescent="0.35">
      <c r="A40" s="11">
        <v>0.38</v>
      </c>
      <c r="B40" s="12" t="s">
        <v>338</v>
      </c>
      <c r="C40" s="13">
        <v>1.2615740740740742E-2</v>
      </c>
      <c r="D40" s="14" t="s">
        <v>719</v>
      </c>
      <c r="F40" s="23"/>
      <c r="G40" s="23"/>
    </row>
    <row r="41" spans="1:8" x14ac:dyDescent="0.35">
      <c r="A41" s="11">
        <v>0.39</v>
      </c>
      <c r="B41" s="12" t="s">
        <v>298</v>
      </c>
      <c r="C41" s="13">
        <v>1.298611111111111E-2</v>
      </c>
      <c r="D41" s="14" t="s">
        <v>342</v>
      </c>
      <c r="F41" s="4" t="s">
        <v>789</v>
      </c>
      <c r="G41" s="27" t="s">
        <v>117</v>
      </c>
    </row>
    <row r="42" spans="1:8" x14ac:dyDescent="0.35">
      <c r="A42" s="11">
        <v>0.4</v>
      </c>
      <c r="B42" s="12" t="s">
        <v>298</v>
      </c>
      <c r="C42" s="13">
        <v>1.3344907407407408E-2</v>
      </c>
      <c r="D42" s="14" t="s">
        <v>47</v>
      </c>
      <c r="F42" s="30" t="s">
        <v>790</v>
      </c>
      <c r="G42" s="66" cm="1">
        <f t="array" ref="G42">AVERAGE(VALUE(LEFT(B12:B82, LEN(B12:B82) - 3)))</f>
        <v>118.71830985915493</v>
      </c>
    </row>
    <row r="43" spans="1:8" x14ac:dyDescent="0.35">
      <c r="A43" s="11">
        <v>0.41</v>
      </c>
      <c r="B43" s="12" t="s">
        <v>63</v>
      </c>
      <c r="C43" s="13">
        <v>1.3715277777777778E-2</v>
      </c>
      <c r="D43" s="14" t="s">
        <v>720</v>
      </c>
      <c r="F43" s="49"/>
      <c r="G43" s="49"/>
    </row>
    <row r="44" spans="1:8" x14ac:dyDescent="0.35">
      <c r="A44" s="11">
        <v>0.42</v>
      </c>
      <c r="B44" s="12" t="s">
        <v>63</v>
      </c>
      <c r="C44" s="13">
        <v>1.4085648148148151E-2</v>
      </c>
      <c r="D44" s="14" t="s">
        <v>721</v>
      </c>
      <c r="F44" s="4" t="s">
        <v>692</v>
      </c>
      <c r="G44" s="27" t="s">
        <v>117</v>
      </c>
    </row>
    <row r="45" spans="1:8" x14ac:dyDescent="0.35">
      <c r="A45" s="11">
        <v>0.43</v>
      </c>
      <c r="B45" s="12" t="s">
        <v>63</v>
      </c>
      <c r="C45" s="13">
        <v>1.4456018518518519E-2</v>
      </c>
      <c r="D45" s="14" t="s">
        <v>722</v>
      </c>
      <c r="F45" s="21" t="s">
        <v>118</v>
      </c>
      <c r="G45" s="31">
        <f>ROUNDUP(G21,0)*G4</f>
        <v>17.5</v>
      </c>
    </row>
    <row r="46" spans="1:8" x14ac:dyDescent="0.35">
      <c r="A46" s="11">
        <v>0.44</v>
      </c>
      <c r="B46" s="12" t="s">
        <v>61</v>
      </c>
      <c r="C46" s="13">
        <v>1.4826388888888889E-2</v>
      </c>
      <c r="D46" s="14" t="s">
        <v>443</v>
      </c>
      <c r="F46" s="30" t="s">
        <v>119</v>
      </c>
      <c r="G46" s="32">
        <f>G3+G45</f>
        <v>1017.5</v>
      </c>
    </row>
    <row r="47" spans="1:8" x14ac:dyDescent="0.35">
      <c r="A47" s="11">
        <v>0.45</v>
      </c>
      <c r="B47" s="12" t="s">
        <v>61</v>
      </c>
      <c r="C47" s="13">
        <v>1.5196759259259259E-2</v>
      </c>
      <c r="D47" s="14" t="s">
        <v>723</v>
      </c>
      <c r="F47" s="21" t="s">
        <v>121</v>
      </c>
      <c r="G47" s="31">
        <f>(J4*G8)</f>
        <v>196</v>
      </c>
    </row>
    <row r="48" spans="1:8" x14ac:dyDescent="0.35">
      <c r="A48" s="11">
        <v>0.46</v>
      </c>
      <c r="B48" s="12" t="s">
        <v>61</v>
      </c>
      <c r="C48" s="13">
        <v>1.556712962962963E-2</v>
      </c>
      <c r="D48" s="14" t="s">
        <v>519</v>
      </c>
      <c r="F48" s="5" t="s">
        <v>120</v>
      </c>
      <c r="G48" s="32">
        <f>G46-G47</f>
        <v>821.5</v>
      </c>
    </row>
    <row r="49" spans="1:7" x14ac:dyDescent="0.35">
      <c r="A49" s="11">
        <v>0.47</v>
      </c>
      <c r="B49" s="12" t="s">
        <v>64</v>
      </c>
      <c r="C49" s="13">
        <v>1.59375E-2</v>
      </c>
      <c r="D49" s="14" t="s">
        <v>670</v>
      </c>
      <c r="F49" s="21" t="s">
        <v>123</v>
      </c>
      <c r="G49" s="31">
        <f>G21*(J4*(G10-G9))</f>
        <v>846.5</v>
      </c>
    </row>
    <row r="50" spans="1:7" x14ac:dyDescent="0.35">
      <c r="A50" s="11">
        <v>0.48</v>
      </c>
      <c r="B50" s="12" t="s">
        <v>64</v>
      </c>
      <c r="C50" s="13">
        <v>1.6319444444444445E-2</v>
      </c>
      <c r="D50" s="14" t="s">
        <v>448</v>
      </c>
      <c r="F50" s="30" t="s">
        <v>122</v>
      </c>
      <c r="G50" s="32">
        <f>ABS(G48-G49)</f>
        <v>25</v>
      </c>
    </row>
    <row r="51" spans="1:7" x14ac:dyDescent="0.35">
      <c r="A51" s="11">
        <v>0.49</v>
      </c>
      <c r="B51" s="12" t="s">
        <v>344</v>
      </c>
      <c r="C51" s="13">
        <v>1.6689814814814817E-2</v>
      </c>
      <c r="D51" s="14" t="s">
        <v>54</v>
      </c>
    </row>
    <row r="52" spans="1:7" x14ac:dyDescent="0.35">
      <c r="A52" s="11">
        <v>0.5</v>
      </c>
      <c r="B52" s="12" t="s">
        <v>344</v>
      </c>
      <c r="C52" s="13">
        <v>1.7071759259259259E-2</v>
      </c>
      <c r="D52" s="14" t="s">
        <v>233</v>
      </c>
    </row>
    <row r="53" spans="1:7" x14ac:dyDescent="0.35">
      <c r="A53" s="11">
        <v>0.51</v>
      </c>
      <c r="B53" s="12" t="s">
        <v>344</v>
      </c>
      <c r="C53" s="13">
        <v>1.7453703703703704E-2</v>
      </c>
      <c r="D53" s="14" t="s">
        <v>451</v>
      </c>
    </row>
    <row r="54" spans="1:7" x14ac:dyDescent="0.35">
      <c r="A54" s="11">
        <v>0.52</v>
      </c>
      <c r="B54" s="12" t="s">
        <v>346</v>
      </c>
      <c r="C54" s="13">
        <v>1.7824074074074076E-2</v>
      </c>
      <c r="D54" s="14" t="s">
        <v>356</v>
      </c>
    </row>
    <row r="55" spans="1:7" x14ac:dyDescent="0.35">
      <c r="A55" s="11">
        <v>0.53</v>
      </c>
      <c r="B55" s="12" t="s">
        <v>346</v>
      </c>
      <c r="C55" s="13">
        <v>1.8206018518518517E-2</v>
      </c>
      <c r="D55" s="14" t="s">
        <v>724</v>
      </c>
    </row>
    <row r="56" spans="1:7" x14ac:dyDescent="0.35">
      <c r="A56" s="11">
        <v>0.54</v>
      </c>
      <c r="B56" s="12" t="s">
        <v>346</v>
      </c>
      <c r="C56" s="13">
        <v>1.8587962962962962E-2</v>
      </c>
      <c r="D56" s="14" t="s">
        <v>242</v>
      </c>
    </row>
    <row r="57" spans="1:7" x14ac:dyDescent="0.35">
      <c r="A57" s="11">
        <v>0.55000000000000004</v>
      </c>
      <c r="B57" s="12" t="s">
        <v>203</v>
      </c>
      <c r="C57" s="13">
        <v>1.8981481481481481E-2</v>
      </c>
      <c r="D57" s="14" t="s">
        <v>456</v>
      </c>
    </row>
    <row r="58" spans="1:7" x14ac:dyDescent="0.35">
      <c r="A58" s="11">
        <v>0.56000000000000005</v>
      </c>
      <c r="B58" s="12" t="s">
        <v>203</v>
      </c>
      <c r="C58" s="13">
        <v>1.9363425925925926E-2</v>
      </c>
      <c r="D58" s="14" t="s">
        <v>725</v>
      </c>
    </row>
    <row r="59" spans="1:7" x14ac:dyDescent="0.35">
      <c r="A59" s="11">
        <v>0.56999999999999995</v>
      </c>
      <c r="B59" s="12" t="s">
        <v>203</v>
      </c>
      <c r="C59" s="13">
        <v>1.9745370370370371E-2</v>
      </c>
      <c r="D59" s="14" t="s">
        <v>726</v>
      </c>
    </row>
    <row r="60" spans="1:7" x14ac:dyDescent="0.35">
      <c r="A60" s="11">
        <v>0.57999999999999996</v>
      </c>
      <c r="B60" s="12" t="s">
        <v>347</v>
      </c>
      <c r="C60" s="13">
        <v>2.013888888888889E-2</v>
      </c>
      <c r="D60" s="14" t="s">
        <v>727</v>
      </c>
    </row>
    <row r="61" spans="1:7" x14ac:dyDescent="0.35">
      <c r="A61" s="11">
        <v>0.59</v>
      </c>
      <c r="B61" s="12" t="s">
        <v>347</v>
      </c>
      <c r="C61" s="13">
        <v>2.0520833333333332E-2</v>
      </c>
      <c r="D61" s="14" t="s">
        <v>363</v>
      </c>
    </row>
    <row r="62" spans="1:7" x14ac:dyDescent="0.35">
      <c r="A62" s="11">
        <v>0.6</v>
      </c>
      <c r="B62" s="12" t="s">
        <v>205</v>
      </c>
      <c r="C62" s="13">
        <v>2.0914351851851851E-2</v>
      </c>
      <c r="D62" s="14" t="s">
        <v>728</v>
      </c>
    </row>
    <row r="63" spans="1:7" x14ac:dyDescent="0.35">
      <c r="A63" s="11">
        <v>0.61</v>
      </c>
      <c r="B63" s="12" t="s">
        <v>205</v>
      </c>
      <c r="C63" s="13">
        <v>2.1307870370370369E-2</v>
      </c>
      <c r="D63" s="14" t="s">
        <v>529</v>
      </c>
    </row>
    <row r="64" spans="1:7" x14ac:dyDescent="0.35">
      <c r="A64" s="11">
        <v>0.62</v>
      </c>
      <c r="B64" s="12" t="s">
        <v>205</v>
      </c>
      <c r="C64" s="13">
        <v>2.1701388888888892E-2</v>
      </c>
      <c r="D64" s="14" t="s">
        <v>69</v>
      </c>
    </row>
    <row r="65" spans="1:4" x14ac:dyDescent="0.35">
      <c r="A65" s="11">
        <v>0.63</v>
      </c>
      <c r="B65" s="12" t="s">
        <v>351</v>
      </c>
      <c r="C65" s="13">
        <v>2.2094907407407407E-2</v>
      </c>
      <c r="D65" s="14" t="s">
        <v>729</v>
      </c>
    </row>
    <row r="66" spans="1:4" x14ac:dyDescent="0.35">
      <c r="A66" s="11">
        <v>0.64</v>
      </c>
      <c r="B66" s="12" t="s">
        <v>351</v>
      </c>
      <c r="C66" s="13">
        <v>2.2488425925925926E-2</v>
      </c>
      <c r="D66" s="14" t="s">
        <v>682</v>
      </c>
    </row>
    <row r="67" spans="1:4" x14ac:dyDescent="0.35">
      <c r="A67" s="11">
        <v>0.65</v>
      </c>
      <c r="B67" s="12" t="s">
        <v>351</v>
      </c>
      <c r="C67" s="13">
        <v>2.2881944444444444E-2</v>
      </c>
      <c r="D67" s="14" t="s">
        <v>730</v>
      </c>
    </row>
    <row r="68" spans="1:4" x14ac:dyDescent="0.35">
      <c r="A68" s="11">
        <v>0.66</v>
      </c>
      <c r="B68" s="12" t="s">
        <v>207</v>
      </c>
      <c r="C68" s="13">
        <v>2.327546296296296E-2</v>
      </c>
      <c r="D68" s="14" t="s">
        <v>468</v>
      </c>
    </row>
    <row r="69" spans="1:4" x14ac:dyDescent="0.35">
      <c r="A69" s="11">
        <v>0.67</v>
      </c>
      <c r="B69" s="12" t="s">
        <v>207</v>
      </c>
      <c r="C69" s="13">
        <v>2.3680555555555555E-2</v>
      </c>
      <c r="D69" s="14" t="s">
        <v>731</v>
      </c>
    </row>
    <row r="70" spans="1:4" x14ac:dyDescent="0.35">
      <c r="A70" s="11">
        <v>0.68</v>
      </c>
      <c r="B70" s="12" t="s">
        <v>732</v>
      </c>
      <c r="C70" s="13">
        <v>2.4085648148148148E-2</v>
      </c>
      <c r="D70" s="14" t="s">
        <v>628</v>
      </c>
    </row>
    <row r="71" spans="1:4" x14ac:dyDescent="0.35">
      <c r="A71" s="11">
        <v>0.69</v>
      </c>
      <c r="B71" s="12" t="s">
        <v>732</v>
      </c>
      <c r="C71" s="13">
        <v>2.4479166666666666E-2</v>
      </c>
      <c r="D71" s="14" t="s">
        <v>733</v>
      </c>
    </row>
    <row r="72" spans="1:4" x14ac:dyDescent="0.35">
      <c r="A72" s="11">
        <v>0.7</v>
      </c>
      <c r="B72" s="12" t="s">
        <v>732</v>
      </c>
      <c r="C72" s="13">
        <v>2.4884259259259259E-2</v>
      </c>
      <c r="D72" s="14" t="s">
        <v>734</v>
      </c>
    </row>
    <row r="73" spans="1:4" x14ac:dyDescent="0.35">
      <c r="A73" s="11">
        <v>0.71</v>
      </c>
      <c r="B73" s="12" t="s">
        <v>128</v>
      </c>
      <c r="C73" s="13">
        <v>2.5289351851851851E-2</v>
      </c>
      <c r="D73" s="14" t="s">
        <v>91</v>
      </c>
    </row>
    <row r="74" spans="1:4" x14ac:dyDescent="0.35">
      <c r="A74" s="11">
        <v>0.72</v>
      </c>
      <c r="B74" s="12" t="s">
        <v>128</v>
      </c>
      <c r="C74" s="13">
        <v>2.5694444444444447E-2</v>
      </c>
      <c r="D74" s="14" t="s">
        <v>377</v>
      </c>
    </row>
    <row r="75" spans="1:4" x14ac:dyDescent="0.35">
      <c r="A75" s="11">
        <v>0.73</v>
      </c>
      <c r="B75" s="12" t="s">
        <v>128</v>
      </c>
      <c r="C75" s="13">
        <v>2.6099537037037036E-2</v>
      </c>
      <c r="D75" s="14" t="s">
        <v>735</v>
      </c>
    </row>
    <row r="76" spans="1:4" x14ac:dyDescent="0.35">
      <c r="A76" s="11">
        <v>0.74</v>
      </c>
      <c r="B76" s="12" t="s">
        <v>457</v>
      </c>
      <c r="C76" s="13">
        <v>2.6516203703703698E-2</v>
      </c>
      <c r="D76" s="14" t="s">
        <v>631</v>
      </c>
    </row>
    <row r="77" spans="1:4" x14ac:dyDescent="0.35">
      <c r="A77" s="11">
        <v>0.75</v>
      </c>
      <c r="B77" s="12" t="s">
        <v>457</v>
      </c>
      <c r="C77" s="13">
        <v>2.6921296296296294E-2</v>
      </c>
      <c r="D77" s="14" t="s">
        <v>275</v>
      </c>
    </row>
    <row r="78" spans="1:4" x14ac:dyDescent="0.35">
      <c r="A78" s="11">
        <v>0.76</v>
      </c>
      <c r="B78" s="12" t="s">
        <v>459</v>
      </c>
      <c r="C78" s="13">
        <v>2.7337962962962963E-2</v>
      </c>
      <c r="D78" s="14" t="s">
        <v>541</v>
      </c>
    </row>
    <row r="79" spans="1:4" x14ac:dyDescent="0.35">
      <c r="A79" s="11">
        <v>0.77</v>
      </c>
      <c r="B79" s="12" t="s">
        <v>459</v>
      </c>
      <c r="C79" s="13">
        <v>2.7743055555555559E-2</v>
      </c>
      <c r="D79" s="14" t="s">
        <v>484</v>
      </c>
    </row>
    <row r="80" spans="1:4" x14ac:dyDescent="0.35">
      <c r="A80" s="11">
        <v>0.78</v>
      </c>
      <c r="B80" s="12" t="s">
        <v>459</v>
      </c>
      <c r="C80" s="13">
        <v>2.8159722222222221E-2</v>
      </c>
      <c r="D80" s="14" t="s">
        <v>543</v>
      </c>
    </row>
    <row r="81" spans="1:4" x14ac:dyDescent="0.35">
      <c r="A81" s="11">
        <v>0.79</v>
      </c>
      <c r="B81" s="12" t="s">
        <v>210</v>
      </c>
      <c r="C81" s="13">
        <v>2.8576388888888887E-2</v>
      </c>
      <c r="D81" s="14" t="s">
        <v>283</v>
      </c>
    </row>
    <row r="82" spans="1:4" x14ac:dyDescent="0.35">
      <c r="A82" s="11">
        <v>0.8</v>
      </c>
      <c r="B82" s="12" t="s">
        <v>210</v>
      </c>
      <c r="C82" s="13">
        <v>2.8993055555555553E-2</v>
      </c>
      <c r="D82" s="14" t="s">
        <v>736</v>
      </c>
    </row>
    <row r="83" spans="1:4" x14ac:dyDescent="0.35">
      <c r="A83" s="11">
        <v>0.81</v>
      </c>
      <c r="B83" s="12" t="s">
        <v>361</v>
      </c>
      <c r="C83" s="13">
        <v>2.9525462962962962E-2</v>
      </c>
      <c r="D83" s="14" t="s">
        <v>737</v>
      </c>
    </row>
    <row r="84" spans="1:4" x14ac:dyDescent="0.35">
      <c r="A84" s="11">
        <v>0.82</v>
      </c>
      <c r="B84" s="12" t="s">
        <v>259</v>
      </c>
      <c r="C84" s="13">
        <v>3.0277777777777778E-2</v>
      </c>
      <c r="D84" s="14" t="s">
        <v>738</v>
      </c>
    </row>
    <row r="85" spans="1:4" x14ac:dyDescent="0.35">
      <c r="A85" s="11">
        <v>0.83</v>
      </c>
      <c r="B85" s="12" t="s">
        <v>359</v>
      </c>
      <c r="C85" s="13">
        <v>3.1053240740740742E-2</v>
      </c>
      <c r="D85" s="14" t="s">
        <v>739</v>
      </c>
    </row>
    <row r="86" spans="1:4" x14ac:dyDescent="0.35">
      <c r="A86" s="11">
        <v>0.84</v>
      </c>
      <c r="B86" s="12" t="s">
        <v>360</v>
      </c>
      <c r="C86" s="13">
        <v>3.1828703703703706E-2</v>
      </c>
      <c r="D86" s="14" t="s">
        <v>740</v>
      </c>
    </row>
    <row r="87" spans="1:4" x14ac:dyDescent="0.35">
      <c r="A87" s="11">
        <v>0.85</v>
      </c>
      <c r="B87" s="12" t="s">
        <v>80</v>
      </c>
      <c r="C87" s="13">
        <v>3.2627314814814817E-2</v>
      </c>
      <c r="D87" s="14" t="s">
        <v>395</v>
      </c>
    </row>
    <row r="88" spans="1:4" x14ac:dyDescent="0.35">
      <c r="A88" s="11">
        <v>0.86</v>
      </c>
      <c r="B88" s="12" t="s">
        <v>261</v>
      </c>
      <c r="C88" s="13">
        <v>3.3449074074074069E-2</v>
      </c>
      <c r="D88" s="14" t="s">
        <v>741</v>
      </c>
    </row>
    <row r="89" spans="1:4" x14ac:dyDescent="0.35">
      <c r="A89" s="11">
        <v>0.87</v>
      </c>
      <c r="B89" s="12" t="s">
        <v>380</v>
      </c>
      <c r="C89" s="13">
        <v>3.4282407407407407E-2</v>
      </c>
      <c r="D89" s="14" t="s">
        <v>742</v>
      </c>
    </row>
    <row r="90" spans="1:4" x14ac:dyDescent="0.35">
      <c r="A90" s="11">
        <v>0.88</v>
      </c>
      <c r="B90" s="12" t="s">
        <v>388</v>
      </c>
      <c r="C90" s="13">
        <v>3.5243055555555555E-2</v>
      </c>
      <c r="D90" s="14" t="s">
        <v>743</v>
      </c>
    </row>
    <row r="91" spans="1:4" x14ac:dyDescent="0.35">
      <c r="A91" s="11">
        <v>0.89</v>
      </c>
      <c r="B91" s="12" t="s">
        <v>638</v>
      </c>
      <c r="C91" s="13">
        <v>3.6435185185185189E-2</v>
      </c>
      <c r="D91" s="14" t="s">
        <v>744</v>
      </c>
    </row>
    <row r="92" spans="1:4" x14ac:dyDescent="0.35">
      <c r="A92" s="11">
        <v>0.9</v>
      </c>
      <c r="B92" s="12" t="s">
        <v>90</v>
      </c>
      <c r="C92" s="13">
        <v>3.7789351851851852E-2</v>
      </c>
      <c r="D92" s="14" t="s">
        <v>745</v>
      </c>
    </row>
    <row r="93" spans="1:4" x14ac:dyDescent="0.35">
      <c r="A93" s="11">
        <v>0.91</v>
      </c>
      <c r="B93" s="12" t="s">
        <v>278</v>
      </c>
      <c r="C93" s="13">
        <v>3.9282407407407412E-2</v>
      </c>
      <c r="D93" s="14" t="s">
        <v>555</v>
      </c>
    </row>
    <row r="94" spans="1:4" x14ac:dyDescent="0.35">
      <c r="A94" s="11">
        <v>0.92</v>
      </c>
      <c r="B94" s="12" t="s">
        <v>282</v>
      </c>
      <c r="C94" s="13">
        <v>4.1076388888888891E-2</v>
      </c>
      <c r="D94" s="14" t="s">
        <v>556</v>
      </c>
    </row>
    <row r="95" spans="1:4" x14ac:dyDescent="0.35">
      <c r="A95" s="11">
        <v>0.93</v>
      </c>
      <c r="B95" s="12" t="s">
        <v>397</v>
      </c>
      <c r="C95" s="13">
        <v>4.3159722222222224E-2</v>
      </c>
      <c r="D95" s="14" t="s">
        <v>557</v>
      </c>
    </row>
    <row r="96" spans="1:4" x14ac:dyDescent="0.35">
      <c r="A96" s="11">
        <v>0.94</v>
      </c>
      <c r="B96" s="12" t="s">
        <v>284</v>
      </c>
      <c r="C96" s="13">
        <v>4.5474537037037042E-2</v>
      </c>
      <c r="D96" s="14" t="s">
        <v>746</v>
      </c>
    </row>
    <row r="97" spans="1:4" x14ac:dyDescent="0.35">
      <c r="A97" s="11">
        <v>0.95</v>
      </c>
      <c r="B97" s="12" t="s">
        <v>632</v>
      </c>
      <c r="C97" s="13">
        <v>4.809027777777778E-2</v>
      </c>
      <c r="D97" s="14" t="s">
        <v>747</v>
      </c>
    </row>
    <row r="98" spans="1:4" x14ac:dyDescent="0.35">
      <c r="A98" s="11">
        <v>0.96</v>
      </c>
      <c r="B98" s="12" t="s">
        <v>286</v>
      </c>
      <c r="C98" s="13">
        <v>5.1180555555555556E-2</v>
      </c>
      <c r="D98" s="14" t="s">
        <v>748</v>
      </c>
    </row>
    <row r="99" spans="1:4" x14ac:dyDescent="0.35">
      <c r="A99" s="11">
        <v>0.97</v>
      </c>
      <c r="B99" s="12" t="s">
        <v>749</v>
      </c>
      <c r="C99" s="13">
        <v>5.4988425925925927E-2</v>
      </c>
      <c r="D99" s="14" t="s">
        <v>750</v>
      </c>
    </row>
    <row r="100" spans="1:4" x14ac:dyDescent="0.35">
      <c r="A100" s="11">
        <v>0.98</v>
      </c>
      <c r="B100" s="12" t="s">
        <v>749</v>
      </c>
      <c r="C100" s="13">
        <v>5.9386574074074071E-2</v>
      </c>
      <c r="D100" s="14" t="s">
        <v>751</v>
      </c>
    </row>
    <row r="101" spans="1:4" x14ac:dyDescent="0.35">
      <c r="A101" s="11">
        <v>0.99</v>
      </c>
      <c r="B101" s="12" t="s">
        <v>749</v>
      </c>
      <c r="C101" s="13">
        <v>6.3773148148148148E-2</v>
      </c>
      <c r="D101" s="14" t="s">
        <v>752</v>
      </c>
    </row>
    <row r="102" spans="1:4" ht="15" thickBot="1" x14ac:dyDescent="0.4">
      <c r="A102" s="15">
        <v>1</v>
      </c>
      <c r="B102" s="16" t="s">
        <v>753</v>
      </c>
      <c r="C102" s="17">
        <v>6.8935185185185183E-2</v>
      </c>
      <c r="D102" s="18" t="s">
        <v>754</v>
      </c>
    </row>
    <row r="103" spans="1:4" x14ac:dyDescent="0.35">
      <c r="D10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A613-0E1C-432B-9642-C4ECEC5AF501}">
  <dimension ref="A1:J103"/>
  <sheetViews>
    <sheetView topLeftCell="A14" zoomScaleNormal="100" workbookViewId="0">
      <selection activeCell="G41" sqref="F41:G41"/>
    </sheetView>
  </sheetViews>
  <sheetFormatPr defaultColWidth="8.81640625" defaultRowHeight="14.5" x14ac:dyDescent="0.35"/>
  <cols>
    <col min="1" max="4" width="14.81640625" customWidth="1"/>
    <col min="5" max="5" width="11.36328125" bestFit="1" customWidth="1"/>
    <col min="6" max="6" width="36.6328125" bestFit="1" customWidth="1"/>
    <col min="7" max="7" width="14.36328125" bestFit="1" customWidth="1"/>
    <col min="8" max="8" width="14.1796875" bestFit="1" customWidth="1"/>
    <col min="9" max="9" width="43.36328125" bestFit="1" customWidth="1"/>
    <col min="10" max="10" width="79.453125" bestFit="1" customWidth="1"/>
  </cols>
  <sheetData>
    <row r="1" spans="1:10" ht="29.5" thickBot="1" x14ac:dyDescent="0.4">
      <c r="A1" s="3" t="s">
        <v>105</v>
      </c>
      <c r="B1" s="3" t="s">
        <v>100</v>
      </c>
      <c r="C1" s="3" t="s">
        <v>103</v>
      </c>
      <c r="D1" s="3" t="s">
        <v>104</v>
      </c>
    </row>
    <row r="2" spans="1:10" ht="15" thickBot="1" x14ac:dyDescent="0.4">
      <c r="A2" s="7">
        <v>0</v>
      </c>
      <c r="B2" s="8" t="s">
        <v>0</v>
      </c>
      <c r="C2" s="9">
        <v>0</v>
      </c>
      <c r="D2" s="10" t="s">
        <v>1</v>
      </c>
      <c r="F2" s="4" t="s">
        <v>101</v>
      </c>
      <c r="G2" s="27" t="s">
        <v>117</v>
      </c>
      <c r="H2" s="49"/>
      <c r="I2" s="4" t="s">
        <v>102</v>
      </c>
      <c r="J2" s="4"/>
    </row>
    <row r="3" spans="1:10" ht="15" thickBot="1" x14ac:dyDescent="0.4">
      <c r="A3" s="11">
        <v>0.01</v>
      </c>
      <c r="B3" s="12" t="s">
        <v>230</v>
      </c>
      <c r="C3" s="13">
        <v>4.2824074074074075E-4</v>
      </c>
      <c r="D3" s="14" t="s">
        <v>637</v>
      </c>
      <c r="F3" s="21" t="s">
        <v>96</v>
      </c>
      <c r="G3" s="38">
        <f>Summary!H2</f>
        <v>1000</v>
      </c>
      <c r="H3" s="23"/>
      <c r="I3" s="6" t="s">
        <v>107</v>
      </c>
      <c r="J3" s="19" t="s">
        <v>756</v>
      </c>
    </row>
    <row r="4" spans="1:10" ht="15" thickBot="1" x14ac:dyDescent="0.4">
      <c r="A4" s="11">
        <v>0.02</v>
      </c>
      <c r="B4" s="12" t="s">
        <v>72</v>
      </c>
      <c r="C4" s="13">
        <v>7.8703703703703705E-4</v>
      </c>
      <c r="D4" s="14" t="s">
        <v>639</v>
      </c>
      <c r="F4" s="21" t="s">
        <v>115</v>
      </c>
      <c r="G4" s="39">
        <f>Summary!H3</f>
        <v>2.5</v>
      </c>
      <c r="H4" s="49"/>
      <c r="I4" s="21" t="str">
        <f>"Vehicle Range @"&amp;G6&amp; "mph - Perfect Condition (Miles)"</f>
        <v>Vehicle Range @70mph - Perfect Condition (Miles)</v>
      </c>
      <c r="J4" s="61">
        <v>190</v>
      </c>
    </row>
    <row r="5" spans="1:10" ht="15" thickBot="1" x14ac:dyDescent="0.4">
      <c r="A5" s="11">
        <v>0.03</v>
      </c>
      <c r="B5" s="12" t="s">
        <v>759</v>
      </c>
      <c r="C5" s="13">
        <v>1.1342592592592591E-3</v>
      </c>
      <c r="D5" s="14" t="s">
        <v>640</v>
      </c>
      <c r="F5" s="21" t="s">
        <v>98</v>
      </c>
      <c r="G5" s="38">
        <f>Summary!H4</f>
        <v>25</v>
      </c>
      <c r="H5" s="23"/>
      <c r="I5" s="6" t="s">
        <v>108</v>
      </c>
      <c r="J5" s="20" t="s">
        <v>757</v>
      </c>
    </row>
    <row r="6" spans="1:10" ht="15" thickBot="1" x14ac:dyDescent="0.4">
      <c r="A6" s="11">
        <v>0.04</v>
      </c>
      <c r="B6" s="12" t="s">
        <v>228</v>
      </c>
      <c r="C6" s="13">
        <v>1.4699074074074074E-3</v>
      </c>
      <c r="D6" s="14" t="s">
        <v>293</v>
      </c>
      <c r="F6" s="21" t="s">
        <v>97</v>
      </c>
      <c r="G6" s="38">
        <f>Summary!H5</f>
        <v>70</v>
      </c>
      <c r="H6" s="23"/>
      <c r="I6" s="6" t="s">
        <v>106</v>
      </c>
      <c r="J6" s="20" t="s">
        <v>758</v>
      </c>
    </row>
    <row r="7" spans="1:10" x14ac:dyDescent="0.35">
      <c r="A7" s="11">
        <v>0.05</v>
      </c>
      <c r="B7" s="12" t="s">
        <v>226</v>
      </c>
      <c r="C7" s="13">
        <v>1.8171296296296297E-3</v>
      </c>
      <c r="D7" s="14" t="s">
        <v>8</v>
      </c>
      <c r="F7" s="21" t="s">
        <v>691</v>
      </c>
      <c r="G7" s="38">
        <f>Summary!H6</f>
        <v>30</v>
      </c>
      <c r="H7" s="23"/>
    </row>
    <row r="8" spans="1:10" x14ac:dyDescent="0.35">
      <c r="A8" s="11">
        <v>0.06</v>
      </c>
      <c r="B8" s="12" t="s">
        <v>661</v>
      </c>
      <c r="C8" s="13">
        <v>2.1527777777777778E-3</v>
      </c>
      <c r="D8" s="14" t="s">
        <v>405</v>
      </c>
      <c r="F8" s="21" t="s">
        <v>109</v>
      </c>
      <c r="G8" s="40">
        <f>Summary!H7</f>
        <v>1</v>
      </c>
      <c r="H8" s="23"/>
      <c r="I8" s="4" t="s">
        <v>791</v>
      </c>
      <c r="J8" s="4" t="s">
        <v>792</v>
      </c>
    </row>
    <row r="9" spans="1:10" x14ac:dyDescent="0.35">
      <c r="A9" s="11">
        <v>7.0000000000000007E-2</v>
      </c>
      <c r="B9" s="12" t="s">
        <v>662</v>
      </c>
      <c r="C9" s="13">
        <v>2.4768518518518516E-3</v>
      </c>
      <c r="D9" s="14" t="s">
        <v>641</v>
      </c>
      <c r="F9" s="21" t="s">
        <v>113</v>
      </c>
      <c r="G9" s="40">
        <f>Summary!H8</f>
        <v>0.1</v>
      </c>
      <c r="H9" s="23"/>
      <c r="I9" s="65" t="str">
        <f>I4</f>
        <v>Vehicle Range @70mph - Perfect Condition (Miles)</v>
      </c>
      <c r="J9" s="62">
        <f>J4</f>
        <v>190</v>
      </c>
    </row>
    <row r="10" spans="1:10" x14ac:dyDescent="0.35">
      <c r="A10" s="11">
        <v>0.08</v>
      </c>
      <c r="B10" s="12" t="s">
        <v>760</v>
      </c>
      <c r="C10" s="13">
        <v>2.8124999999999995E-3</v>
      </c>
      <c r="D10" s="14" t="s">
        <v>297</v>
      </c>
      <c r="F10" s="21" t="s">
        <v>114</v>
      </c>
      <c r="G10" s="40">
        <f>Summary!H9</f>
        <v>0.8</v>
      </c>
      <c r="H10" s="23"/>
      <c r="I10" s="65" t="str">
        <f>F38</f>
        <v>Fuel Efficiency @70mph (Miles/kWh)</v>
      </c>
      <c r="J10" s="63">
        <f>G38</f>
        <v>2.9687499999999996</v>
      </c>
    </row>
    <row r="11" spans="1:10" x14ac:dyDescent="0.35">
      <c r="A11" s="11">
        <v>0.09</v>
      </c>
      <c r="B11" s="12" t="s">
        <v>224</v>
      </c>
      <c r="C11" s="13">
        <v>3.1365740740740742E-3</v>
      </c>
      <c r="D11" s="14" t="s">
        <v>642</v>
      </c>
      <c r="F11" s="21" t="s">
        <v>771</v>
      </c>
      <c r="G11" s="41">
        <f>Summary!H10</f>
        <v>0.1694</v>
      </c>
      <c r="H11" s="23"/>
      <c r="I11" s="65" t="str">
        <f>F42</f>
        <v>Average Charging Speed 10%-80% (kW)</v>
      </c>
      <c r="J11" s="64">
        <f>G42</f>
        <v>89.126760563380287</v>
      </c>
    </row>
    <row r="12" spans="1:10" x14ac:dyDescent="0.35">
      <c r="A12" s="11">
        <v>0.1</v>
      </c>
      <c r="B12" s="12" t="s">
        <v>294</v>
      </c>
      <c r="C12" s="13">
        <v>3.4490740740740745E-3</v>
      </c>
      <c r="D12" s="14" t="s">
        <v>13</v>
      </c>
      <c r="F12" s="21" t="s">
        <v>772</v>
      </c>
      <c r="G12" s="41">
        <f>Summary!H11</f>
        <v>0.46</v>
      </c>
      <c r="H12" s="49"/>
      <c r="I12" s="28"/>
    </row>
    <row r="13" spans="1:10" x14ac:dyDescent="0.35">
      <c r="A13" s="11">
        <v>0.11</v>
      </c>
      <c r="B13" s="12" t="s">
        <v>294</v>
      </c>
      <c r="C13" s="13">
        <v>3.7731481481481483E-3</v>
      </c>
      <c r="D13" s="14" t="s">
        <v>643</v>
      </c>
      <c r="F13" s="49"/>
      <c r="G13" s="49"/>
      <c r="H13" s="49"/>
      <c r="I13" s="29"/>
    </row>
    <row r="14" spans="1:10" x14ac:dyDescent="0.35">
      <c r="A14" s="11">
        <v>0.12</v>
      </c>
      <c r="B14" s="12" t="s">
        <v>351</v>
      </c>
      <c r="C14" s="13">
        <v>4.0624999999999993E-3</v>
      </c>
      <c r="D14" s="14" t="s">
        <v>411</v>
      </c>
      <c r="F14" s="4" t="s">
        <v>693</v>
      </c>
      <c r="G14" s="27" t="s">
        <v>785</v>
      </c>
      <c r="H14" s="27" t="s">
        <v>786</v>
      </c>
      <c r="I14" s="28"/>
    </row>
    <row r="15" spans="1:10" x14ac:dyDescent="0.35">
      <c r="A15" s="11">
        <v>0.13</v>
      </c>
      <c r="B15" s="12" t="s">
        <v>338</v>
      </c>
      <c r="C15" s="13">
        <v>4.3055555555555555E-3</v>
      </c>
      <c r="D15" s="14" t="s">
        <v>497</v>
      </c>
      <c r="F15" s="33" t="str">
        <f>TEXT(G9,"00%")&amp;"-"&amp;TEXT(G10,"00%")&amp;" Charging Time"</f>
        <v>10%-80% Charging Time</v>
      </c>
      <c r="G15" s="26">
        <f>(VLOOKUP(G10,$A$2:$D$102,3,FALSE)-VLOOKUP(G9,$A$2:$D$102,3,FALSE))*24</f>
        <v>0.64111111111111097</v>
      </c>
      <c r="H15" s="57">
        <f>G15/24</f>
        <v>2.6712962962962956E-2</v>
      </c>
    </row>
    <row r="16" spans="1:10" x14ac:dyDescent="0.35">
      <c r="A16" s="11">
        <v>0.14000000000000001</v>
      </c>
      <c r="B16" s="12" t="s">
        <v>332</v>
      </c>
      <c r="C16" s="13">
        <v>4.5370370370370365E-3</v>
      </c>
      <c r="D16" s="14" t="s">
        <v>644</v>
      </c>
      <c r="F16" s="49"/>
      <c r="G16" s="49"/>
      <c r="H16" s="49"/>
    </row>
    <row r="17" spans="1:10" x14ac:dyDescent="0.35">
      <c r="A17" s="11">
        <v>0.15</v>
      </c>
      <c r="B17" s="12" t="s">
        <v>189</v>
      </c>
      <c r="C17" s="13">
        <v>4.7569444444444447E-3</v>
      </c>
      <c r="D17" s="14" t="s">
        <v>17</v>
      </c>
      <c r="F17" s="4" t="s">
        <v>694</v>
      </c>
      <c r="G17" s="27" t="s">
        <v>117</v>
      </c>
      <c r="H17" s="49"/>
    </row>
    <row r="18" spans="1:10" x14ac:dyDescent="0.35">
      <c r="A18" s="11">
        <v>0.16</v>
      </c>
      <c r="B18" s="12" t="s">
        <v>329</v>
      </c>
      <c r="C18" s="13">
        <v>4.9652777777777777E-3</v>
      </c>
      <c r="D18" s="14" t="s">
        <v>306</v>
      </c>
      <c r="F18" s="21" t="str">
        <f>"Number of Charges for Driving "&amp;TEXT(G3,"###,##0")&amp;" Miles"</f>
        <v>Number of Charges for Driving 1,000 Miles</v>
      </c>
      <c r="G18" s="26">
        <f>MAX(((G3-(J4*G8))/((J4*(G10-G9)))),0)</f>
        <v>6.0902255639097742</v>
      </c>
      <c r="H18" s="49"/>
    </row>
    <row r="19" spans="1:10" x14ac:dyDescent="0.35">
      <c r="A19" s="11">
        <v>0.17</v>
      </c>
      <c r="B19" s="12" t="s">
        <v>187</v>
      </c>
      <c r="C19" s="13">
        <v>5.185185185185185E-3</v>
      </c>
      <c r="D19" s="14" t="s">
        <v>646</v>
      </c>
      <c r="F19" s="21" t="str">
        <f>"Number of Charges for "&amp;G5&amp;" Miles Remaing"</f>
        <v>Number of Charges for 25 Miles Remaing</v>
      </c>
      <c r="G19" s="26">
        <f>(G5/((J4*(G10-G9))))</f>
        <v>0.18796992481203006</v>
      </c>
      <c r="H19" s="49"/>
    </row>
    <row r="20" spans="1:10" x14ac:dyDescent="0.35">
      <c r="A20" s="11">
        <v>0.18</v>
      </c>
      <c r="B20" s="12" t="s">
        <v>761</v>
      </c>
      <c r="C20" s="13">
        <v>5.3935185185185188E-3</v>
      </c>
      <c r="D20" s="14" t="s">
        <v>647</v>
      </c>
      <c r="F20" s="21" t="s">
        <v>769</v>
      </c>
      <c r="G20" s="26">
        <f>IF(SUM((ROUNDUP(G18+G19,0)*(G4/(J4*(G10-G9)))),G18:G19)&gt;ROUNDUP(G18+G19,0),ROUNDUP(G18+G19+1,0)*(G4/(J4*(G10-G9))),ROUNDUP(G18+G19,0)*(G4/(J4*(G10-G9))))</f>
        <v>0.13157894736842105</v>
      </c>
      <c r="H20" s="49"/>
    </row>
    <row r="21" spans="1:10" x14ac:dyDescent="0.35">
      <c r="A21" s="11">
        <v>0.19</v>
      </c>
      <c r="B21" s="12" t="s">
        <v>329</v>
      </c>
      <c r="C21" s="13">
        <v>5.6134259259259271E-3</v>
      </c>
      <c r="D21" s="14" t="s">
        <v>648</v>
      </c>
      <c r="F21" s="21" t="s">
        <v>770</v>
      </c>
      <c r="G21" s="26">
        <f>SUM(G18:G20)</f>
        <v>6.4097744360902258</v>
      </c>
      <c r="H21" s="49"/>
    </row>
    <row r="22" spans="1:10" x14ac:dyDescent="0.35">
      <c r="A22" s="11">
        <v>0.2</v>
      </c>
      <c r="B22" s="12" t="s">
        <v>187</v>
      </c>
      <c r="C22" s="13">
        <v>5.8217592592592592E-3</v>
      </c>
      <c r="D22" s="14" t="s">
        <v>21</v>
      </c>
      <c r="F22" s="49"/>
      <c r="G22" s="49"/>
      <c r="H22" s="49"/>
    </row>
    <row r="23" spans="1:10" x14ac:dyDescent="0.35">
      <c r="A23" s="11">
        <v>0.21</v>
      </c>
      <c r="B23" s="12" t="s">
        <v>761</v>
      </c>
      <c r="C23" s="13">
        <v>6.0416666666666665E-3</v>
      </c>
      <c r="D23" s="14" t="s">
        <v>149</v>
      </c>
      <c r="F23" s="4" t="s">
        <v>773</v>
      </c>
      <c r="G23" s="27" t="s">
        <v>785</v>
      </c>
      <c r="H23" s="27" t="s">
        <v>786</v>
      </c>
    </row>
    <row r="24" spans="1:10" x14ac:dyDescent="0.35">
      <c r="A24" s="11">
        <v>0.22</v>
      </c>
      <c r="B24" s="12" t="s">
        <v>189</v>
      </c>
      <c r="C24" s="13">
        <v>6.2499999999999995E-3</v>
      </c>
      <c r="D24" s="14" t="s">
        <v>572</v>
      </c>
      <c r="F24" s="34" t="s">
        <v>110</v>
      </c>
      <c r="G24" s="37">
        <f>G3/G6</f>
        <v>14.285714285714286</v>
      </c>
      <c r="H24" s="57">
        <f>G24/24</f>
        <v>0.59523809523809523</v>
      </c>
    </row>
    <row r="25" spans="1:10" x14ac:dyDescent="0.35">
      <c r="A25" s="11">
        <v>0.23</v>
      </c>
      <c r="B25" s="12" t="s">
        <v>761</v>
      </c>
      <c r="C25" s="13">
        <v>6.4699074074074069E-3</v>
      </c>
      <c r="D25" s="14" t="s">
        <v>501</v>
      </c>
      <c r="E25" s="1"/>
      <c r="F25" s="34" t="s">
        <v>116</v>
      </c>
      <c r="G25" s="37">
        <f>ROUNDUP(G21,0)*((G4/G7))</f>
        <v>0.58333333333333326</v>
      </c>
      <c r="H25" s="57">
        <f>G25/24</f>
        <v>2.4305555555555552E-2</v>
      </c>
    </row>
    <row r="26" spans="1:10" x14ac:dyDescent="0.35">
      <c r="A26" s="11">
        <v>0.24</v>
      </c>
      <c r="B26" s="12" t="s">
        <v>761</v>
      </c>
      <c r="C26" s="13">
        <v>6.6782407407407415E-3</v>
      </c>
      <c r="D26" s="14" t="s">
        <v>420</v>
      </c>
      <c r="F26" s="34" t="s">
        <v>99</v>
      </c>
      <c r="G26" s="37">
        <f>G21*G15</f>
        <v>4.1093776106933992</v>
      </c>
      <c r="H26" s="57">
        <f>G26/24</f>
        <v>0.17122406711222496</v>
      </c>
    </row>
    <row r="27" spans="1:10" x14ac:dyDescent="0.35">
      <c r="A27" s="11">
        <v>0.25</v>
      </c>
      <c r="B27" s="12" t="s">
        <v>328</v>
      </c>
      <c r="C27" s="13">
        <v>6.8981481481481489E-3</v>
      </c>
      <c r="D27" s="14" t="s">
        <v>25</v>
      </c>
      <c r="F27" s="35" t="s">
        <v>112</v>
      </c>
      <c r="G27" s="36">
        <f>SUM(G24:G26)</f>
        <v>18.978425229741021</v>
      </c>
      <c r="H27" s="58">
        <f>G27/24</f>
        <v>0.79076771790587586</v>
      </c>
    </row>
    <row r="28" spans="1:10" x14ac:dyDescent="0.35">
      <c r="A28" s="11">
        <v>0.26</v>
      </c>
      <c r="B28" s="12" t="s">
        <v>187</v>
      </c>
      <c r="C28" s="13">
        <v>7.106481481481481E-3</v>
      </c>
      <c r="D28" s="14" t="s">
        <v>157</v>
      </c>
      <c r="F28" s="49"/>
      <c r="G28" s="49"/>
      <c r="H28" s="49"/>
    </row>
    <row r="29" spans="1:10" x14ac:dyDescent="0.35">
      <c r="A29" s="11">
        <v>0.27</v>
      </c>
      <c r="B29" s="12" t="s">
        <v>410</v>
      </c>
      <c r="C29" s="13">
        <v>7.3148148148148148E-3</v>
      </c>
      <c r="D29" s="14" t="s">
        <v>650</v>
      </c>
      <c r="F29" s="4" t="s">
        <v>781</v>
      </c>
      <c r="G29" s="27" t="s">
        <v>117</v>
      </c>
      <c r="H29" s="49"/>
    </row>
    <row r="30" spans="1:10" x14ac:dyDescent="0.35">
      <c r="A30" s="11">
        <v>0.28000000000000003</v>
      </c>
      <c r="B30" s="12" t="s">
        <v>329</v>
      </c>
      <c r="C30" s="13">
        <v>7.5347222222222213E-3</v>
      </c>
      <c r="D30" s="14" t="s">
        <v>651</v>
      </c>
      <c r="F30" s="5" t="s">
        <v>774</v>
      </c>
      <c r="G30" s="44">
        <f>VALUE(LEFT((VLOOKUP(G8,$A$2:$D$102,4,FALSE)),LEN((VLOOKUP(G8,$A$2:$D$102,4,FALSE)))-4))</f>
        <v>64</v>
      </c>
      <c r="H30" s="49"/>
    </row>
    <row r="31" spans="1:10" x14ac:dyDescent="0.35">
      <c r="A31" s="11">
        <v>0.28999999999999998</v>
      </c>
      <c r="B31" s="12" t="s">
        <v>189</v>
      </c>
      <c r="C31" s="13">
        <v>7.743055555555556E-3</v>
      </c>
      <c r="D31" s="14" t="s">
        <v>652</v>
      </c>
      <c r="F31" s="34" t="s">
        <v>779</v>
      </c>
      <c r="G31" s="44">
        <f>VALUE(LEFT((VLOOKUP(G10,$A$2:$D$102,4,FALSE)),LEN((VLOOKUP(G10,$A$2:$D$102,4,FALSE)))-4))-VALUE(LEFT((VLOOKUP(G9,$A$2:$D$102,4,FALSE)),LEN((VLOOKUP(G9,$A$2:$D$102,4,FALSE)))-4))</f>
        <v>44.800000000000004</v>
      </c>
      <c r="H31" s="49"/>
    </row>
    <row r="32" spans="1:10" x14ac:dyDescent="0.35">
      <c r="A32" s="11">
        <v>0.3</v>
      </c>
      <c r="B32" s="12" t="s">
        <v>332</v>
      </c>
      <c r="C32" s="13">
        <v>7.9629629629629634E-3</v>
      </c>
      <c r="D32" s="14" t="s">
        <v>28</v>
      </c>
      <c r="F32" s="5" t="s">
        <v>775</v>
      </c>
      <c r="G32" s="44">
        <f>(G21-G19)*G31</f>
        <v>278.73684210526318</v>
      </c>
      <c r="H32" s="2"/>
      <c r="J32" s="49"/>
    </row>
    <row r="33" spans="1:8" x14ac:dyDescent="0.35">
      <c r="A33" s="11">
        <v>0.31</v>
      </c>
      <c r="B33" s="12" t="s">
        <v>440</v>
      </c>
      <c r="C33" s="13">
        <v>8.1944444444444452E-3</v>
      </c>
      <c r="D33" s="14" t="s">
        <v>165</v>
      </c>
      <c r="F33" s="30" t="s">
        <v>776</v>
      </c>
      <c r="G33" s="45">
        <f>G30*G11</f>
        <v>10.8416</v>
      </c>
      <c r="H33" s="49"/>
    </row>
    <row r="34" spans="1:8" x14ac:dyDescent="0.35">
      <c r="A34" s="11">
        <v>0.32</v>
      </c>
      <c r="B34" s="12" t="s">
        <v>197</v>
      </c>
      <c r="C34" s="13">
        <v>8.4259259259259253E-3</v>
      </c>
      <c r="D34" s="14" t="s">
        <v>167</v>
      </c>
      <c r="F34" s="30" t="s">
        <v>777</v>
      </c>
      <c r="G34" s="45">
        <f>G32*G12</f>
        <v>128.21894736842106</v>
      </c>
      <c r="H34" s="29"/>
    </row>
    <row r="35" spans="1:8" x14ac:dyDescent="0.35">
      <c r="A35" s="11">
        <v>0.33</v>
      </c>
      <c r="B35" s="12" t="s">
        <v>298</v>
      </c>
      <c r="C35" s="13">
        <v>8.6574074074074071E-3</v>
      </c>
      <c r="D35" s="14" t="s">
        <v>653</v>
      </c>
      <c r="F35" s="30" t="s">
        <v>778</v>
      </c>
      <c r="G35" s="67">
        <f>SUM(G33:G34)</f>
        <v>139.06054736842106</v>
      </c>
      <c r="H35" s="49"/>
    </row>
    <row r="36" spans="1:8" x14ac:dyDescent="0.35">
      <c r="A36" s="11">
        <v>0.34</v>
      </c>
      <c r="B36" s="12" t="s">
        <v>63</v>
      </c>
      <c r="C36" s="13">
        <v>8.9004629629629625E-3</v>
      </c>
      <c r="D36" s="14" t="s">
        <v>654</v>
      </c>
      <c r="F36" s="49"/>
      <c r="G36" s="49"/>
      <c r="H36" s="49"/>
    </row>
    <row r="37" spans="1:8" x14ac:dyDescent="0.35">
      <c r="A37" s="11">
        <v>0.35</v>
      </c>
      <c r="B37" s="12" t="s">
        <v>347</v>
      </c>
      <c r="C37" s="13">
        <v>9.1435185185185178E-3</v>
      </c>
      <c r="D37" s="14" t="s">
        <v>33</v>
      </c>
      <c r="F37" s="4" t="s">
        <v>788</v>
      </c>
      <c r="G37" s="27" t="s">
        <v>117</v>
      </c>
      <c r="H37" s="49"/>
    </row>
    <row r="38" spans="1:8" x14ac:dyDescent="0.35">
      <c r="A38" s="11">
        <v>0.36</v>
      </c>
      <c r="B38" s="12" t="s">
        <v>351</v>
      </c>
      <c r="C38" s="13">
        <v>9.3981481481481485E-3</v>
      </c>
      <c r="D38" s="14" t="s">
        <v>323</v>
      </c>
      <c r="F38" s="30" t="str">
        <f>"Fuel Efficiency @"&amp;$G$6&amp; "mph (Miles/kWh)"</f>
        <v>Fuel Efficiency @70mph (Miles/kWh)</v>
      </c>
      <c r="G38" s="66">
        <f>($J$4*($G$10-$G$9))/$G$31</f>
        <v>2.9687499999999996</v>
      </c>
      <c r="H38" s="49"/>
    </row>
    <row r="39" spans="1:8" x14ac:dyDescent="0.35">
      <c r="A39" s="11">
        <v>0.37</v>
      </c>
      <c r="B39" s="12" t="s">
        <v>732</v>
      </c>
      <c r="C39" s="13">
        <v>9.6643518518518511E-3</v>
      </c>
      <c r="D39" s="14" t="s">
        <v>174</v>
      </c>
      <c r="F39" s="30" t="str">
        <f>"Fuel Efficiency @"&amp;$G$6&amp; "mph (kWh/100 mi)"</f>
        <v>Fuel Efficiency @70mph (kWh/100 mi)</v>
      </c>
      <c r="G39" s="66">
        <f>(1/G38)*100</f>
        <v>33.684210526315795</v>
      </c>
      <c r="H39" s="49"/>
    </row>
    <row r="40" spans="1:8" x14ac:dyDescent="0.35">
      <c r="A40" s="11">
        <v>0.38</v>
      </c>
      <c r="B40" s="12" t="s">
        <v>459</v>
      </c>
      <c r="C40" s="13">
        <v>9.9305555555555553E-3</v>
      </c>
      <c r="D40" s="14" t="s">
        <v>655</v>
      </c>
      <c r="F40" s="23"/>
      <c r="G40" s="23"/>
      <c r="H40" s="49"/>
    </row>
    <row r="41" spans="1:8" x14ac:dyDescent="0.35">
      <c r="A41" s="11">
        <v>0.39</v>
      </c>
      <c r="B41" s="12" t="s">
        <v>127</v>
      </c>
      <c r="C41" s="13">
        <v>1.0208333333333333E-2</v>
      </c>
      <c r="D41" s="14" t="s">
        <v>656</v>
      </c>
      <c r="F41" s="4" t="s">
        <v>789</v>
      </c>
      <c r="G41" s="27" t="s">
        <v>117</v>
      </c>
      <c r="H41" s="49"/>
    </row>
    <row r="42" spans="1:8" x14ac:dyDescent="0.35">
      <c r="A42" s="11">
        <v>0.4</v>
      </c>
      <c r="B42" s="12" t="s">
        <v>762</v>
      </c>
      <c r="C42" s="13">
        <v>1.0486111111111111E-2</v>
      </c>
      <c r="D42" s="14" t="s">
        <v>35</v>
      </c>
      <c r="F42" s="30" t="s">
        <v>790</v>
      </c>
      <c r="G42" s="66" cm="1">
        <f t="array" ref="G42">AVERAGE(VALUE(LEFT(B12:B82, LEN(B12:B82) - 3)))</f>
        <v>89.126760563380287</v>
      </c>
      <c r="H42" s="49"/>
    </row>
    <row r="43" spans="1:8" x14ac:dyDescent="0.35">
      <c r="A43" s="11">
        <v>0.41</v>
      </c>
      <c r="B43" s="12" t="s">
        <v>215</v>
      </c>
      <c r="C43" s="13">
        <v>1.0763888888888891E-2</v>
      </c>
      <c r="D43" s="14" t="s">
        <v>428</v>
      </c>
      <c r="F43" s="49"/>
      <c r="G43" s="49"/>
      <c r="H43" s="49"/>
    </row>
    <row r="44" spans="1:8" x14ac:dyDescent="0.35">
      <c r="A44" s="11">
        <v>0.42</v>
      </c>
      <c r="B44" s="12" t="s">
        <v>462</v>
      </c>
      <c r="C44" s="13">
        <v>1.105324074074074E-2</v>
      </c>
      <c r="D44" s="14" t="s">
        <v>182</v>
      </c>
      <c r="F44" s="4" t="s">
        <v>692</v>
      </c>
      <c r="G44" s="27" t="s">
        <v>117</v>
      </c>
      <c r="H44" s="49"/>
    </row>
    <row r="45" spans="1:8" x14ac:dyDescent="0.35">
      <c r="A45" s="11">
        <v>0.43</v>
      </c>
      <c r="B45" s="12" t="s">
        <v>217</v>
      </c>
      <c r="C45" s="13">
        <v>1.1354166666666667E-2</v>
      </c>
      <c r="D45" s="14" t="s">
        <v>657</v>
      </c>
      <c r="F45" s="21" t="s">
        <v>118</v>
      </c>
      <c r="G45" s="31">
        <f>ROUNDUP(G21,0)*G4</f>
        <v>17.5</v>
      </c>
      <c r="H45" s="49"/>
    </row>
    <row r="46" spans="1:8" x14ac:dyDescent="0.35">
      <c r="A46" s="11">
        <v>0.44</v>
      </c>
      <c r="B46" s="12" t="s">
        <v>70</v>
      </c>
      <c r="C46" s="13">
        <v>1.1655092592592594E-2</v>
      </c>
      <c r="D46" s="14" t="s">
        <v>658</v>
      </c>
      <c r="F46" s="30" t="s">
        <v>119</v>
      </c>
      <c r="G46" s="32">
        <f>G3+G45</f>
        <v>1017.5</v>
      </c>
      <c r="H46" s="49"/>
    </row>
    <row r="47" spans="1:8" x14ac:dyDescent="0.35">
      <c r="A47" s="11">
        <v>0.45</v>
      </c>
      <c r="B47" s="12" t="s">
        <v>70</v>
      </c>
      <c r="C47" s="13">
        <v>1.1979166666666666E-2</v>
      </c>
      <c r="D47" s="14" t="s">
        <v>40</v>
      </c>
      <c r="F47" s="21" t="s">
        <v>121</v>
      </c>
      <c r="G47" s="31">
        <f>(J4*G8)</f>
        <v>190</v>
      </c>
      <c r="H47" s="49"/>
    </row>
    <row r="48" spans="1:8" x14ac:dyDescent="0.35">
      <c r="A48" s="11">
        <v>0.46</v>
      </c>
      <c r="B48" s="12" t="s">
        <v>662</v>
      </c>
      <c r="C48" s="13">
        <v>1.2291666666666666E-2</v>
      </c>
      <c r="D48" s="14" t="s">
        <v>508</v>
      </c>
      <c r="F48" s="5" t="s">
        <v>120</v>
      </c>
      <c r="G48" s="32">
        <f>G46-G47</f>
        <v>827.5</v>
      </c>
      <c r="H48" s="49"/>
    </row>
    <row r="49" spans="1:8" x14ac:dyDescent="0.35">
      <c r="A49" s="11">
        <v>0.47</v>
      </c>
      <c r="B49" s="12" t="s">
        <v>661</v>
      </c>
      <c r="C49" s="13">
        <v>1.2627314814814815E-2</v>
      </c>
      <c r="D49" s="14" t="s">
        <v>659</v>
      </c>
      <c r="F49" s="21" t="s">
        <v>123</v>
      </c>
      <c r="G49" s="31">
        <f>G21*(J4*(G10-G9))</f>
        <v>852.5</v>
      </c>
      <c r="H49" s="49"/>
    </row>
    <row r="50" spans="1:8" x14ac:dyDescent="0.35">
      <c r="A50" s="11">
        <v>0.48</v>
      </c>
      <c r="B50" s="12" t="s">
        <v>759</v>
      </c>
      <c r="C50" s="13">
        <v>1.2962962962962963E-2</v>
      </c>
      <c r="D50" s="14" t="s">
        <v>660</v>
      </c>
      <c r="F50" s="30" t="s">
        <v>122</v>
      </c>
      <c r="G50" s="32">
        <f>ABS(G48-G49)</f>
        <v>25</v>
      </c>
      <c r="H50" s="49"/>
    </row>
    <row r="51" spans="1:8" x14ac:dyDescent="0.35">
      <c r="A51" s="11">
        <v>0.49</v>
      </c>
      <c r="B51" s="12" t="s">
        <v>230</v>
      </c>
      <c r="C51" s="13">
        <v>1.3321759259259261E-2</v>
      </c>
      <c r="D51" s="14" t="s">
        <v>336</v>
      </c>
    </row>
    <row r="52" spans="1:8" x14ac:dyDescent="0.35">
      <c r="A52" s="11">
        <v>0.5</v>
      </c>
      <c r="B52" s="12" t="s">
        <v>759</v>
      </c>
      <c r="C52" s="13">
        <v>1.3668981481481482E-2</v>
      </c>
      <c r="D52" s="14" t="s">
        <v>43</v>
      </c>
    </row>
    <row r="53" spans="1:8" x14ac:dyDescent="0.35">
      <c r="A53" s="11">
        <v>0.51</v>
      </c>
      <c r="B53" s="12" t="s">
        <v>367</v>
      </c>
      <c r="C53" s="13">
        <v>1.4027777777777778E-2</v>
      </c>
      <c r="D53" s="14" t="s">
        <v>592</v>
      </c>
    </row>
    <row r="54" spans="1:8" x14ac:dyDescent="0.35">
      <c r="A54" s="11">
        <v>0.52</v>
      </c>
      <c r="B54" s="12" t="s">
        <v>239</v>
      </c>
      <c r="C54" s="13">
        <v>1.4398148148148148E-2</v>
      </c>
      <c r="D54" s="14" t="s">
        <v>593</v>
      </c>
    </row>
    <row r="55" spans="1:8" x14ac:dyDescent="0.35">
      <c r="A55" s="11">
        <v>0.53</v>
      </c>
      <c r="B55" s="12" t="s">
        <v>74</v>
      </c>
      <c r="C55" s="13">
        <v>1.4780092592592595E-2</v>
      </c>
      <c r="D55" s="14" t="s">
        <v>434</v>
      </c>
    </row>
    <row r="56" spans="1:8" x14ac:dyDescent="0.35">
      <c r="A56" s="11">
        <v>0.54</v>
      </c>
      <c r="B56" s="12" t="s">
        <v>244</v>
      </c>
      <c r="C56" s="13">
        <v>1.5185185185185185E-2</v>
      </c>
      <c r="D56" s="14" t="s">
        <v>435</v>
      </c>
    </row>
    <row r="57" spans="1:8" x14ac:dyDescent="0.35">
      <c r="A57" s="11">
        <v>0.55000000000000004</v>
      </c>
      <c r="B57" s="12" t="s">
        <v>250</v>
      </c>
      <c r="C57" s="13">
        <v>1.5590277777777778E-2</v>
      </c>
      <c r="D57" s="14" t="s">
        <v>44</v>
      </c>
    </row>
    <row r="58" spans="1:8" x14ac:dyDescent="0.35">
      <c r="A58" s="11">
        <v>0.56000000000000005</v>
      </c>
      <c r="B58" s="12" t="s">
        <v>250</v>
      </c>
      <c r="C58" s="13">
        <v>1.6006944444444445E-2</v>
      </c>
      <c r="D58" s="14" t="s">
        <v>663</v>
      </c>
    </row>
    <row r="59" spans="1:8" x14ac:dyDescent="0.35">
      <c r="A59" s="11">
        <v>0.56999999999999995</v>
      </c>
      <c r="B59" s="12" t="s">
        <v>255</v>
      </c>
      <c r="C59" s="13">
        <v>1.6435185185185188E-2</v>
      </c>
      <c r="D59" s="14" t="s">
        <v>664</v>
      </c>
    </row>
    <row r="60" spans="1:8" x14ac:dyDescent="0.35">
      <c r="A60" s="11">
        <v>0.57999999999999996</v>
      </c>
      <c r="B60" s="12" t="s">
        <v>375</v>
      </c>
      <c r="C60" s="13">
        <v>1.6875000000000001E-2</v>
      </c>
      <c r="D60" s="14" t="s">
        <v>206</v>
      </c>
    </row>
    <row r="61" spans="1:8" x14ac:dyDescent="0.35">
      <c r="A61" s="11">
        <v>0.59</v>
      </c>
      <c r="B61" s="12" t="s">
        <v>258</v>
      </c>
      <c r="C61" s="13">
        <v>1.7337962962962961E-2</v>
      </c>
      <c r="D61" s="14" t="s">
        <v>665</v>
      </c>
    </row>
    <row r="62" spans="1:8" x14ac:dyDescent="0.35">
      <c r="A62" s="11">
        <v>0.6</v>
      </c>
      <c r="B62" s="12" t="s">
        <v>78</v>
      </c>
      <c r="C62" s="13">
        <v>1.7812499999999998E-2</v>
      </c>
      <c r="D62" s="14" t="s">
        <v>46</v>
      </c>
    </row>
    <row r="63" spans="1:8" x14ac:dyDescent="0.35">
      <c r="A63" s="11">
        <v>0.61</v>
      </c>
      <c r="B63" s="12" t="s">
        <v>259</v>
      </c>
      <c r="C63" s="13">
        <v>1.8298611111111113E-2</v>
      </c>
      <c r="D63" s="14" t="s">
        <v>666</v>
      </c>
    </row>
    <row r="64" spans="1:8" x14ac:dyDescent="0.35">
      <c r="A64" s="11">
        <v>0.62</v>
      </c>
      <c r="B64" s="12" t="s">
        <v>359</v>
      </c>
      <c r="C64" s="13">
        <v>1.8796296296296297E-2</v>
      </c>
      <c r="D64" s="14" t="s">
        <v>667</v>
      </c>
    </row>
    <row r="65" spans="1:4" x14ac:dyDescent="0.35">
      <c r="A65" s="11">
        <v>0.63</v>
      </c>
      <c r="B65" s="12" t="s">
        <v>261</v>
      </c>
      <c r="C65" s="13">
        <v>1.9317129629629629E-2</v>
      </c>
      <c r="D65" s="14" t="s">
        <v>212</v>
      </c>
    </row>
    <row r="66" spans="1:4" x14ac:dyDescent="0.35">
      <c r="A66" s="11">
        <v>0.64</v>
      </c>
      <c r="B66" s="12" t="s">
        <v>261</v>
      </c>
      <c r="C66" s="13">
        <v>1.9861111111111111E-2</v>
      </c>
      <c r="D66" s="14" t="s">
        <v>668</v>
      </c>
    </row>
    <row r="67" spans="1:4" x14ac:dyDescent="0.35">
      <c r="A67" s="11">
        <v>0.65</v>
      </c>
      <c r="B67" s="12" t="s">
        <v>80</v>
      </c>
      <c r="C67" s="13">
        <v>2.0393518518518519E-2</v>
      </c>
      <c r="D67" s="14" t="s">
        <v>50</v>
      </c>
    </row>
    <row r="68" spans="1:4" x14ac:dyDescent="0.35">
      <c r="A68" s="11">
        <v>0.66</v>
      </c>
      <c r="B68" s="12" t="s">
        <v>380</v>
      </c>
      <c r="C68" s="13">
        <v>2.0937499999999998E-2</v>
      </c>
      <c r="D68" s="14" t="s">
        <v>602</v>
      </c>
    </row>
    <row r="69" spans="1:4" x14ac:dyDescent="0.35">
      <c r="A69" s="11">
        <v>0.67</v>
      </c>
      <c r="B69" s="12" t="s">
        <v>261</v>
      </c>
      <c r="C69" s="13">
        <v>2.148148148148148E-2</v>
      </c>
      <c r="D69" s="14" t="s">
        <v>604</v>
      </c>
    </row>
    <row r="70" spans="1:4" x14ac:dyDescent="0.35">
      <c r="A70" s="11">
        <v>0.68</v>
      </c>
      <c r="B70" s="12" t="s">
        <v>380</v>
      </c>
      <c r="C70" s="13">
        <v>2.2037037037037036E-2</v>
      </c>
      <c r="D70" s="14" t="s">
        <v>669</v>
      </c>
    </row>
    <row r="71" spans="1:4" x14ac:dyDescent="0.35">
      <c r="A71" s="11">
        <v>0.69</v>
      </c>
      <c r="B71" s="12" t="s">
        <v>384</v>
      </c>
      <c r="C71" s="13">
        <v>2.2615740740740742E-2</v>
      </c>
      <c r="D71" s="14" t="s">
        <v>222</v>
      </c>
    </row>
    <row r="72" spans="1:4" x14ac:dyDescent="0.35">
      <c r="A72" s="11">
        <v>0.7</v>
      </c>
      <c r="B72" s="12" t="s">
        <v>384</v>
      </c>
      <c r="C72" s="13">
        <v>2.3217592592592592E-2</v>
      </c>
      <c r="D72" s="14" t="s">
        <v>53</v>
      </c>
    </row>
    <row r="73" spans="1:4" x14ac:dyDescent="0.35">
      <c r="A73" s="11">
        <v>0.71</v>
      </c>
      <c r="B73" s="12" t="s">
        <v>763</v>
      </c>
      <c r="C73" s="13">
        <v>2.3842592592592596E-2</v>
      </c>
      <c r="D73" s="14" t="s">
        <v>446</v>
      </c>
    </row>
    <row r="74" spans="1:4" x14ac:dyDescent="0.35">
      <c r="A74" s="11">
        <v>0.72</v>
      </c>
      <c r="B74" s="12" t="s">
        <v>469</v>
      </c>
      <c r="C74" s="13">
        <v>2.4479166666666666E-2</v>
      </c>
      <c r="D74" s="14" t="s">
        <v>670</v>
      </c>
    </row>
    <row r="75" spans="1:4" x14ac:dyDescent="0.35">
      <c r="A75" s="11">
        <v>0.73</v>
      </c>
      <c r="B75" s="12" t="s">
        <v>84</v>
      </c>
      <c r="C75" s="13">
        <v>2.5138888888888891E-2</v>
      </c>
      <c r="D75" s="14" t="s">
        <v>671</v>
      </c>
    </row>
    <row r="76" spans="1:4" x14ac:dyDescent="0.35">
      <c r="A76" s="11">
        <v>0.74</v>
      </c>
      <c r="B76" s="12" t="s">
        <v>469</v>
      </c>
      <c r="C76" s="13">
        <v>2.5798611111111109E-2</v>
      </c>
      <c r="D76" s="14" t="s">
        <v>229</v>
      </c>
    </row>
    <row r="77" spans="1:4" x14ac:dyDescent="0.35">
      <c r="A77" s="11">
        <v>0.75</v>
      </c>
      <c r="B77" s="12" t="s">
        <v>265</v>
      </c>
      <c r="C77" s="13">
        <v>2.6458333333333334E-2</v>
      </c>
      <c r="D77" s="14" t="s">
        <v>54</v>
      </c>
    </row>
    <row r="78" spans="1:4" x14ac:dyDescent="0.35">
      <c r="A78" s="11">
        <v>0.76</v>
      </c>
      <c r="B78" s="12" t="s">
        <v>388</v>
      </c>
      <c r="C78" s="13">
        <v>2.7164351851851853E-2</v>
      </c>
      <c r="D78" s="14" t="s">
        <v>672</v>
      </c>
    </row>
    <row r="79" spans="1:4" x14ac:dyDescent="0.35">
      <c r="A79" s="11">
        <v>0.77</v>
      </c>
      <c r="B79" s="12" t="s">
        <v>86</v>
      </c>
      <c r="C79" s="13">
        <v>2.7881944444444445E-2</v>
      </c>
      <c r="D79" s="14" t="s">
        <v>353</v>
      </c>
    </row>
    <row r="80" spans="1:4" x14ac:dyDescent="0.35">
      <c r="A80" s="11">
        <v>0.78</v>
      </c>
      <c r="B80" s="12" t="s">
        <v>86</v>
      </c>
      <c r="C80" s="13">
        <v>2.8622685185185185E-2</v>
      </c>
      <c r="D80" s="14" t="s">
        <v>673</v>
      </c>
    </row>
    <row r="81" spans="1:4" x14ac:dyDescent="0.35">
      <c r="A81" s="11">
        <v>0.79</v>
      </c>
      <c r="B81" s="12" t="s">
        <v>470</v>
      </c>
      <c r="C81" s="13">
        <v>2.9374999999999998E-2</v>
      </c>
      <c r="D81" s="14" t="s">
        <v>236</v>
      </c>
    </row>
    <row r="82" spans="1:4" x14ac:dyDescent="0.35">
      <c r="A82" s="11">
        <v>0.8</v>
      </c>
      <c r="B82" s="12" t="s">
        <v>272</v>
      </c>
      <c r="C82" s="13">
        <v>3.0162037037037032E-2</v>
      </c>
      <c r="D82" s="14" t="s">
        <v>57</v>
      </c>
    </row>
    <row r="83" spans="1:4" x14ac:dyDescent="0.35">
      <c r="A83" s="11">
        <v>0.81</v>
      </c>
      <c r="B83" s="12" t="s">
        <v>88</v>
      </c>
      <c r="C83" s="13">
        <v>3.0983796296296297E-2</v>
      </c>
      <c r="D83" s="14" t="s">
        <v>357</v>
      </c>
    </row>
    <row r="84" spans="1:4" x14ac:dyDescent="0.35">
      <c r="A84" s="11">
        <v>0.82</v>
      </c>
      <c r="B84" s="12" t="s">
        <v>274</v>
      </c>
      <c r="C84" s="13">
        <v>3.1805555555555552E-2</v>
      </c>
      <c r="D84" s="14" t="s">
        <v>615</v>
      </c>
    </row>
    <row r="85" spans="1:4" x14ac:dyDescent="0.35">
      <c r="A85" s="11">
        <v>0.83</v>
      </c>
      <c r="B85" s="12" t="s">
        <v>88</v>
      </c>
      <c r="C85" s="13">
        <v>3.2638888888888891E-2</v>
      </c>
      <c r="D85" s="14" t="s">
        <v>455</v>
      </c>
    </row>
    <row r="86" spans="1:4" x14ac:dyDescent="0.35">
      <c r="A86" s="11">
        <v>0.84</v>
      </c>
      <c r="B86" s="12" t="s">
        <v>638</v>
      </c>
      <c r="C86" s="13">
        <v>3.349537037037037E-2</v>
      </c>
      <c r="D86" s="14" t="s">
        <v>674</v>
      </c>
    </row>
    <row r="87" spans="1:4" x14ac:dyDescent="0.35">
      <c r="A87" s="11">
        <v>0.85</v>
      </c>
      <c r="B87" s="12" t="s">
        <v>638</v>
      </c>
      <c r="C87" s="13">
        <v>3.4363425925925929E-2</v>
      </c>
      <c r="D87" s="14" t="s">
        <v>60</v>
      </c>
    </row>
    <row r="88" spans="1:4" x14ac:dyDescent="0.35">
      <c r="A88" s="11">
        <v>0.86</v>
      </c>
      <c r="B88" s="12" t="s">
        <v>390</v>
      </c>
      <c r="C88" s="13">
        <v>3.5266203703703702E-2</v>
      </c>
      <c r="D88" s="14" t="s">
        <v>675</v>
      </c>
    </row>
    <row r="89" spans="1:4" x14ac:dyDescent="0.35">
      <c r="A89" s="11">
        <v>0.87</v>
      </c>
      <c r="B89" s="12" t="s">
        <v>390</v>
      </c>
      <c r="C89" s="13">
        <v>3.619212962962963E-2</v>
      </c>
      <c r="D89" s="14" t="s">
        <v>677</v>
      </c>
    </row>
    <row r="90" spans="1:4" x14ac:dyDescent="0.35">
      <c r="A90" s="11">
        <v>0.88</v>
      </c>
      <c r="B90" s="12" t="s">
        <v>392</v>
      </c>
      <c r="C90" s="13">
        <v>3.7141203703703704E-2</v>
      </c>
      <c r="D90" s="14" t="s">
        <v>678</v>
      </c>
    </row>
    <row r="91" spans="1:4" x14ac:dyDescent="0.35">
      <c r="A91" s="11">
        <v>0.89</v>
      </c>
      <c r="B91" s="12" t="s">
        <v>764</v>
      </c>
      <c r="C91" s="13">
        <v>3.8148148148148146E-2</v>
      </c>
      <c r="D91" s="14" t="s">
        <v>362</v>
      </c>
    </row>
    <row r="92" spans="1:4" x14ac:dyDescent="0.35">
      <c r="A92" s="11">
        <v>0.9</v>
      </c>
      <c r="B92" s="12" t="s">
        <v>278</v>
      </c>
      <c r="C92" s="13">
        <v>3.9189814814814809E-2</v>
      </c>
      <c r="D92" s="14" t="s">
        <v>65</v>
      </c>
    </row>
    <row r="93" spans="1:4" x14ac:dyDescent="0.35">
      <c r="A93" s="11">
        <v>0.91</v>
      </c>
      <c r="B93" s="12" t="s">
        <v>676</v>
      </c>
      <c r="C93" s="13">
        <v>4.027777777777778E-2</v>
      </c>
      <c r="D93" s="14" t="s">
        <v>679</v>
      </c>
    </row>
    <row r="94" spans="1:4" x14ac:dyDescent="0.35">
      <c r="A94" s="11">
        <v>0.92</v>
      </c>
      <c r="B94" s="12" t="s">
        <v>280</v>
      </c>
      <c r="C94" s="13">
        <v>4.1400462962962965E-2</v>
      </c>
      <c r="D94" s="14" t="s">
        <v>528</v>
      </c>
    </row>
    <row r="95" spans="1:4" x14ac:dyDescent="0.35">
      <c r="A95" s="11">
        <v>0.93</v>
      </c>
      <c r="B95" s="12" t="s">
        <v>280</v>
      </c>
      <c r="C95" s="13">
        <v>4.2546296296296297E-2</v>
      </c>
      <c r="D95" s="14" t="s">
        <v>365</v>
      </c>
    </row>
    <row r="96" spans="1:4" x14ac:dyDescent="0.35">
      <c r="A96" s="11">
        <v>0.94</v>
      </c>
      <c r="B96" s="12" t="s">
        <v>93</v>
      </c>
      <c r="C96" s="13">
        <v>4.3715277777777777E-2</v>
      </c>
      <c r="D96" s="14" t="s">
        <v>680</v>
      </c>
    </row>
    <row r="97" spans="1:4" x14ac:dyDescent="0.35">
      <c r="A97" s="11">
        <v>0.95</v>
      </c>
      <c r="B97" s="12" t="s">
        <v>397</v>
      </c>
      <c r="C97" s="13">
        <v>4.5023148148148145E-2</v>
      </c>
      <c r="D97" s="14" t="s">
        <v>69</v>
      </c>
    </row>
    <row r="98" spans="1:4" x14ac:dyDescent="0.35">
      <c r="A98" s="11">
        <v>0.96</v>
      </c>
      <c r="B98" s="12" t="s">
        <v>765</v>
      </c>
      <c r="C98" s="13">
        <v>4.6574074074074073E-2</v>
      </c>
      <c r="D98" s="14" t="s">
        <v>623</v>
      </c>
    </row>
    <row r="99" spans="1:4" x14ac:dyDescent="0.35">
      <c r="A99" s="11">
        <v>0.97</v>
      </c>
      <c r="B99" s="12" t="s">
        <v>766</v>
      </c>
      <c r="C99" s="13">
        <v>4.8414351851851854E-2</v>
      </c>
      <c r="D99" s="14" t="s">
        <v>681</v>
      </c>
    </row>
    <row r="100" spans="1:4" x14ac:dyDescent="0.35">
      <c r="A100" s="11">
        <v>0.98</v>
      </c>
      <c r="B100" s="12" t="s">
        <v>749</v>
      </c>
      <c r="C100" s="13">
        <v>5.0810185185185187E-2</v>
      </c>
      <c r="D100" s="14" t="s">
        <v>682</v>
      </c>
    </row>
    <row r="101" spans="1:4" x14ac:dyDescent="0.35">
      <c r="A101" s="11">
        <v>0.99</v>
      </c>
      <c r="B101" s="12" t="s">
        <v>684</v>
      </c>
      <c r="C101" s="13">
        <v>5.3993055555555558E-2</v>
      </c>
      <c r="D101" s="14" t="s">
        <v>683</v>
      </c>
    </row>
    <row r="102" spans="1:4" ht="15" thickBot="1" x14ac:dyDescent="0.4">
      <c r="A102" s="15">
        <v>1</v>
      </c>
      <c r="B102" s="16" t="s">
        <v>767</v>
      </c>
      <c r="C102" s="17">
        <v>5.8090277777777775E-2</v>
      </c>
      <c r="D102" s="18" t="s">
        <v>77</v>
      </c>
    </row>
    <row r="103" spans="1:4" x14ac:dyDescent="0.35">
      <c r="D10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Coverage xmlns="http://schemas.microsoft.com/sharepoint/v3/fields" xsi:nil="true"/>
    <Record xmlns="4ffa91fb-a0ff-4ac5-b2db-65c790d184a4">Shared</Record>
    <EPA_x0020_Office xmlns="4ffa91fb-a0ff-4ac5-b2db-65c790d184a4" xsi:nil="true"/>
    <Document_x0020_Creation_x0020_Date xmlns="4ffa91fb-a0ff-4ac5-b2db-65c790d184a4">2025-01-03T16:19:00+00:00</Document_x0020_Creation_x0020_Date>
    <EPA_x0020_Related_x0020_Documents xmlns="4ffa91fb-a0ff-4ac5-b2db-65c790d184a4" xsi:nil="true"/>
    <_Source xmlns="http://schemas.microsoft.com/sharepoint/v3/fields" xsi:nil="true"/>
    <CategoryDescription xmlns="http://schemas.microsoft.com/sharepoint.v3" xsi:nil="true"/>
    <EPA_x0020_Contributor xmlns="4ffa91fb-a0ff-4ac5-b2db-65c790d184a4">
      <UserInfo>
        <DisplayName/>
        <AccountId xsi:nil="true"/>
        <AccountType/>
      </UserInfo>
    </EPA_x0020_Contributor>
    <TaxKeywordTaxHTField xmlns="4ffa91fb-a0ff-4ac5-b2db-65c790d184a4">
      <Terms xmlns="http://schemas.microsoft.com/office/infopath/2007/PartnerControls"/>
    </TaxKeywordTaxHTField>
    <Rights xmlns="4ffa91fb-a0ff-4ac5-b2db-65c790d184a4" xsi:nil="true"/>
    <Creator xmlns="4ffa91fb-a0ff-4ac5-b2db-65c790d184a4">
      <UserInfo>
        <DisplayName/>
        <AccountId xsi:nil="true"/>
        <AccountType/>
      </UserInfo>
    </Creator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d329a7cb-a26a-4a2a-b3c0-532d4db30699">
      <Terms xmlns="http://schemas.microsoft.com/office/infopath/2007/PartnerControls"/>
    </lcf76f155ced4ddcb4097134ff3c332f>
    <TaxCatchAll xmlns="4ffa91fb-a0ff-4ac5-b2db-65c790d184a4" xsi:nil="true"/>
    <External_x0020_Contributor xmlns="4ffa91fb-a0ff-4ac5-b2db-65c790d184a4" xsi:nil="true"/>
    <Identifier xmlns="4ffa91fb-a0ff-4ac5-b2db-65c790d184a4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E46CE-99F8-49A9-8E12-DCC03533F1D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6D18E99-2CA7-4133-90B2-2B969BC450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665F6-A11D-4671-973E-374968D7E531}">
  <ds:schemaRefs>
    <ds:schemaRef ds:uri="d329a7cb-a26a-4a2a-b3c0-532d4db30699"/>
    <ds:schemaRef ds:uri="http://schemas.microsoft.com/office/2006/metadata/properties"/>
    <ds:schemaRef ds:uri="http://schemas.microsoft.com/sharepoint.v3"/>
    <ds:schemaRef ds:uri="http://schemas.microsoft.com/sharepoint/v3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sharepoint/v3/fields"/>
    <ds:schemaRef ds:uri="http://purl.org/dc/terms/"/>
    <ds:schemaRef ds:uri="4ffa91fb-a0ff-4ac5-b2db-65c790d184a4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4368644-B521-490A-80A8-539725A230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d329a7cb-a26a-4a2a-b3c0-532d4db30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Hyundai Ioniq 6</vt:lpstr>
      <vt:lpstr>Tesla Model Y</vt:lpstr>
      <vt:lpstr>Chevy Equinox</vt:lpstr>
      <vt:lpstr>Volvo EX30</vt:lpstr>
      <vt:lpstr>Volkswagen ID.4</vt:lpstr>
      <vt:lpstr>Ford Mustang Mach-e</vt:lpstr>
      <vt:lpstr>Ford F-150 Lightning</vt:lpstr>
      <vt:lpstr>Toyota bZ4X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Sobel, Aaron</dc:creator>
  <cp:lastModifiedBy>Sobel, Aaron</cp:lastModifiedBy>
  <dcterms:created xsi:type="dcterms:W3CDTF">2025-01-03T14:56:14Z</dcterms:created>
  <dcterms:modified xsi:type="dcterms:W3CDTF">2025-01-23T17:17:26Z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Document_x0020_Type">
    <vt:lpwstr/>
  </property>
  <property fmtid="{D5CDD505-2E9C-101B-9397-08002B2CF9AE}" pid="4" name="MediaServiceImageTags">
    <vt:lpwstr/>
  </property>
  <property fmtid="{D5CDD505-2E9C-101B-9397-08002B2CF9AE}" pid="5" name="ContentTypeId">
    <vt:lpwstr>0x0101007D1FF704560E864C95E9651F0E5EE9D2</vt:lpwstr>
  </property>
  <property fmtid="{D5CDD505-2E9C-101B-9397-08002B2CF9AE}" pid="6" name="ComplianceAssetId">
    <vt:lpwstr/>
  </property>
  <property fmtid="{D5CDD505-2E9C-101B-9397-08002B2CF9AE}" pid="7" name="EPA Subject">
    <vt:lpwstr/>
  </property>
  <property fmtid="{D5CDD505-2E9C-101B-9397-08002B2CF9AE}" pid="8" name="_ExtendedDescription">
    <vt:lpwstr/>
  </property>
  <property fmtid="{D5CDD505-2E9C-101B-9397-08002B2CF9AE}" pid="9" name="Document Type">
    <vt:lpwstr/>
  </property>
  <property fmtid="{D5CDD505-2E9C-101B-9397-08002B2CF9AE}" pid="10" name="e3f09c3df709400db2417a7161762d62">
    <vt:lpwstr/>
  </property>
  <property fmtid="{D5CDD505-2E9C-101B-9397-08002B2CF9AE}" pid="11" name="Records Status">
    <vt:lpwstr>Pending</vt:lpwstr>
  </property>
  <property fmtid="{D5CDD505-2E9C-101B-9397-08002B2CF9AE}" pid="12" name="EPA_x0020_Subject">
    <vt:lpwstr/>
  </property>
  <property fmtid="{D5CDD505-2E9C-101B-9397-08002B2CF9AE}" pid="13" name="TriggerFlowInfo">
    <vt:lpwstr/>
  </property>
</Properties>
</file>