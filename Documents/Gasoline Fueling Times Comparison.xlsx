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obel_aaron_epa_gov/Documents/Coding/RoadTripMetric/Documents/"/>
    </mc:Choice>
  </mc:AlternateContent>
  <xr:revisionPtr revIDLastSave="1" documentId="8_{A059AD72-EADA-4F47-BF85-5DA158A54CC0}" xr6:coauthVersionLast="47" xr6:coauthVersionMax="47" xr10:uidLastSave="{D51B199E-E283-4941-BC74-425A24542EC0}"/>
  <bookViews>
    <workbookView xWindow="19090" yWindow="4630" windowWidth="19420" windowHeight="10300" xr2:uid="{55FCA8EF-DDFF-46C7-AB19-B52D9C714C50}"/>
  </bookViews>
  <sheets>
    <sheet name="Toyota RAV4" sheetId="1" r:id="rId1"/>
    <sheet name="Ford F-150" sheetId="2" r:id="rId2"/>
    <sheet name="Toyota Corolla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17" i="3" s="1"/>
  <c r="D13" i="3"/>
  <c r="B12" i="3"/>
  <c r="B13" i="3" s="1"/>
  <c r="B14" i="3" s="1"/>
  <c r="B17" i="2"/>
  <c r="C17" i="2" s="1"/>
  <c r="D13" i="2"/>
  <c r="B12" i="2"/>
  <c r="B13" i="2" s="1"/>
  <c r="B14" i="2" s="1"/>
  <c r="D13" i="1"/>
  <c r="B17" i="1"/>
  <c r="C17" i="1" s="1"/>
  <c r="B12" i="1"/>
  <c r="B13" i="1" s="1"/>
  <c r="B14" i="1" s="1"/>
  <c r="B15" i="1" s="1"/>
  <c r="B15" i="3" l="1"/>
  <c r="B18" i="3" s="1"/>
  <c r="B19" i="3"/>
  <c r="C19" i="3" s="1"/>
  <c r="B19" i="2"/>
  <c r="C19" i="2" s="1"/>
  <c r="B15" i="2"/>
  <c r="B18" i="2" s="1"/>
  <c r="B19" i="1"/>
  <c r="C19" i="1" s="1"/>
  <c r="B18" i="1"/>
  <c r="C18" i="1" s="1"/>
  <c r="B20" i="3" l="1"/>
  <c r="C20" i="3" s="1"/>
  <c r="C18" i="3"/>
  <c r="B20" i="2"/>
  <c r="C20" i="2" s="1"/>
  <c r="C18" i="2"/>
  <c r="B20" i="1"/>
  <c r="C20" i="1" s="1"/>
</calcChain>
</file>

<file path=xl/sharedStrings.xml><?xml version="1.0" encoding="utf-8"?>
<sst xmlns="http://schemas.openxmlformats.org/spreadsheetml/2006/main" count="90" uniqueCount="29">
  <si>
    <t>Vehicle</t>
  </si>
  <si>
    <t>Tank Size (Gal)</t>
  </si>
  <si>
    <t>Highway Fuel Efficiency (MPG)</t>
  </si>
  <si>
    <t>Detour Distance, per stop (Miles)</t>
  </si>
  <si>
    <t>Travel Distance (Miles)</t>
  </si>
  <si>
    <t>Source</t>
  </si>
  <si>
    <t>Value</t>
  </si>
  <si>
    <t>Vehicle Range (Miles)</t>
  </si>
  <si>
    <t>Usable Range (Miles)</t>
  </si>
  <si>
    <t>Ending Range (Miles)</t>
  </si>
  <si>
    <t>City Speed (mph)</t>
  </si>
  <si>
    <t>Highway Speed (mph)</t>
  </si>
  <si>
    <t>Gasoline Refuels</t>
  </si>
  <si>
    <t>Gas Station Visits</t>
  </si>
  <si>
    <t>Refueling Rate (GPM)</t>
  </si>
  <si>
    <t>40 CFR § 1090.1550 (U.S. EPA)</t>
  </si>
  <si>
    <t>Refueling Time (Min)</t>
  </si>
  <si>
    <t>Refueling Detour Time (Min)</t>
  </si>
  <si>
    <t>Driving Time (Min)</t>
  </si>
  <si>
    <t>Total Travel Time (Min)</t>
  </si>
  <si>
    <t>Assumption</t>
  </si>
  <si>
    <t>Assumes vehicle starts with 100% full gas tank</t>
  </si>
  <si>
    <t>2025 Ford F-150</t>
  </si>
  <si>
    <t>https://fueleconomy.gov/feg/Find.do?action=sbs&amp;id=48886</t>
  </si>
  <si>
    <t>2025 Toyota Corolla</t>
  </si>
  <si>
    <t>https://fueleconomy.gov/feg/Find.do?action=sbs&amp;id=48493</t>
  </si>
  <si>
    <t xml:space="preserve">2025 Toyota Corolla </t>
  </si>
  <si>
    <t>https://fueleconomy.gov/feg/Find.do?action=sbs&amp;id=48910</t>
  </si>
  <si>
    <t>Highway Fuel Efficiency (MPG)*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</si>
</sst>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165" fontId="0" fillId="0" borderId="0" xfId="1" applyNumberFormat="1" applyFont="1"/>
    <xf numFmtId="0" fontId="4" fillId="0" borderId="0" xfId="2"/>
    <xf numFmtId="165" fontId="0" fillId="3" borderId="1" xfId="1" applyNumberFormat="1" applyFont="1" applyFill="1" applyBorder="1"/>
    <xf numFmtId="164" fontId="0" fillId="3" borderId="1" xfId="1" applyNumberFormat="1" applyFont="1" applyFill="1" applyBorder="1"/>
    <xf numFmtId="0" fontId="0" fillId="3" borderId="1" xfId="0" applyFill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0" fontId="6" fillId="0" borderId="0" xfId="0" applyFont="1" applyAlignment="1">
      <alignment horizontal="right"/>
    </xf>
    <xf numFmtId="2" fontId="5" fillId="0" borderId="0" xfId="0" applyNumberFormat="1" applyFont="1"/>
    <xf numFmtId="0" fontId="7" fillId="0" borderId="0" xfId="0" applyFont="1"/>
    <xf numFmtId="2" fontId="7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43" fontId="0" fillId="0" borderId="0" xfId="1" applyNumberFormat="1" applyFont="1"/>
    <xf numFmtId="0" fontId="0" fillId="3" borderId="1" xfId="0" applyFill="1" applyBorder="1" applyAlignment="1">
      <alignment horizontal="right" wrapText="1"/>
    </xf>
    <xf numFmtId="2" fontId="8" fillId="0" borderId="0" xfId="0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ueleconomy.gov/feg/Find.do?action=sbs&amp;id=48910" TargetMode="External"/><Relationship Id="rId2" Type="http://schemas.openxmlformats.org/officeDocument/2006/relationships/hyperlink" Target="https://fueleconomy.gov/feg/Find.do?action=sbs&amp;id=48910" TargetMode="External"/><Relationship Id="rId1" Type="http://schemas.openxmlformats.org/officeDocument/2006/relationships/hyperlink" Target="https://fueleconomy.gov/feg/Find.do?action=sbs&amp;id=4891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ueleconomy.gov/feg/Find.do?action=sbs&amp;id=48886" TargetMode="External"/><Relationship Id="rId2" Type="http://schemas.openxmlformats.org/officeDocument/2006/relationships/hyperlink" Target="https://fueleconomy.gov/feg/Find.do?action=sbs&amp;id=48886" TargetMode="External"/><Relationship Id="rId1" Type="http://schemas.openxmlformats.org/officeDocument/2006/relationships/hyperlink" Target="https://fueleconomy.gov/feg/Find.do?action=sbs&amp;id=4888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ueleconomy.gov/feg/Find.do?action=sbs&amp;id=484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AD8B-B363-41B2-B723-7C3A87641E57}">
  <dimension ref="A1:D20"/>
  <sheetViews>
    <sheetView tabSelected="1" workbookViewId="0">
      <selection activeCell="A4" sqref="A4"/>
    </sheetView>
  </sheetViews>
  <sheetFormatPr defaultRowHeight="14.4" x14ac:dyDescent="0.3"/>
  <cols>
    <col min="1" max="1" width="28.21875" bestFit="1" customWidth="1"/>
    <col min="2" max="2" width="17.109375" bestFit="1" customWidth="1"/>
    <col min="3" max="3" width="10.88671875" style="2" customWidth="1"/>
    <col min="4" max="4" width="50.44140625" customWidth="1"/>
  </cols>
  <sheetData>
    <row r="1" spans="1:4" s="1" customFormat="1" ht="15" thickBot="1" x14ac:dyDescent="0.35">
      <c r="B1" s="1" t="s">
        <v>6</v>
      </c>
      <c r="D1" s="3" t="s">
        <v>5</v>
      </c>
    </row>
    <row r="2" spans="1:4" ht="15" thickBot="1" x14ac:dyDescent="0.35">
      <c r="A2" t="s">
        <v>0</v>
      </c>
      <c r="B2" s="8" t="s">
        <v>24</v>
      </c>
      <c r="D2" s="5" t="s">
        <v>27</v>
      </c>
    </row>
    <row r="3" spans="1:4" ht="15" thickBot="1" x14ac:dyDescent="0.35">
      <c r="A3" t="s">
        <v>28</v>
      </c>
      <c r="B3" s="7">
        <v>35</v>
      </c>
      <c r="D3" s="5" t="s">
        <v>27</v>
      </c>
    </row>
    <row r="4" spans="1:4" ht="15" thickBot="1" x14ac:dyDescent="0.35">
      <c r="A4" t="s">
        <v>1</v>
      </c>
      <c r="B4" s="7">
        <v>14.5</v>
      </c>
      <c r="D4" s="5" t="s">
        <v>27</v>
      </c>
    </row>
    <row r="5" spans="1:4" ht="15" thickBot="1" x14ac:dyDescent="0.35">
      <c r="A5" t="s">
        <v>4</v>
      </c>
      <c r="B5" s="6">
        <v>1000</v>
      </c>
      <c r="D5" t="s">
        <v>20</v>
      </c>
    </row>
    <row r="6" spans="1:4" ht="15" thickBot="1" x14ac:dyDescent="0.35">
      <c r="A6" t="s">
        <v>3</v>
      </c>
      <c r="B6" s="7">
        <v>2.5</v>
      </c>
      <c r="D6" t="s">
        <v>20</v>
      </c>
    </row>
    <row r="7" spans="1:4" ht="15" thickBot="1" x14ac:dyDescent="0.35">
      <c r="A7" t="s">
        <v>9</v>
      </c>
      <c r="B7" s="6">
        <v>25</v>
      </c>
      <c r="D7" t="s">
        <v>20</v>
      </c>
    </row>
    <row r="8" spans="1:4" ht="15" thickBot="1" x14ac:dyDescent="0.35">
      <c r="A8" t="s">
        <v>11</v>
      </c>
      <c r="B8" s="6">
        <v>70</v>
      </c>
      <c r="D8" t="s">
        <v>20</v>
      </c>
    </row>
    <row r="9" spans="1:4" ht="15" thickBot="1" x14ac:dyDescent="0.35">
      <c r="A9" t="s">
        <v>10</v>
      </c>
      <c r="B9" s="6">
        <v>30</v>
      </c>
      <c r="D9" t="s">
        <v>20</v>
      </c>
    </row>
    <row r="10" spans="1:4" ht="15" thickBot="1" x14ac:dyDescent="0.35">
      <c r="A10" t="s">
        <v>14</v>
      </c>
      <c r="B10" s="6">
        <v>10</v>
      </c>
      <c r="D10" s="2" t="s">
        <v>15</v>
      </c>
    </row>
    <row r="11" spans="1:4" x14ac:dyDescent="0.3">
      <c r="B11" s="4"/>
    </row>
    <row r="12" spans="1:4" x14ac:dyDescent="0.3">
      <c r="A12" t="s">
        <v>7</v>
      </c>
      <c r="B12" s="4">
        <f>B3*B4</f>
        <v>507.5</v>
      </c>
    </row>
    <row r="13" spans="1:4" x14ac:dyDescent="0.3">
      <c r="A13" t="s">
        <v>8</v>
      </c>
      <c r="B13" s="4">
        <f>B12-B7</f>
        <v>482.5</v>
      </c>
      <c r="D13" s="20" t="str">
        <f>"Retains "&amp;B7&amp;" mile buffer"</f>
        <v>Retains 25 mile buffer</v>
      </c>
    </row>
    <row r="14" spans="1:4" x14ac:dyDescent="0.3">
      <c r="A14" t="s">
        <v>12</v>
      </c>
      <c r="B14" s="21">
        <f>(B5/B13)-1</f>
        <v>1.0725388601036268</v>
      </c>
      <c r="D14" s="20" t="s">
        <v>21</v>
      </c>
    </row>
    <row r="15" spans="1:4" x14ac:dyDescent="0.3">
      <c r="A15" t="s">
        <v>13</v>
      </c>
      <c r="B15" s="21">
        <f>ROUNDUP(B14,0)</f>
        <v>2</v>
      </c>
    </row>
    <row r="17" spans="1:3" x14ac:dyDescent="0.3">
      <c r="A17" s="11" t="s">
        <v>18</v>
      </c>
      <c r="B17" s="12">
        <f>B5/B8</f>
        <v>14.285714285714286</v>
      </c>
      <c r="C17" s="13" t="str">
        <f>INT($B17) &amp; "h " &amp; ROUND(($B17-INT($B17))*60,0) &amp; "m"</f>
        <v>14h 17m</v>
      </c>
    </row>
    <row r="18" spans="1:3" x14ac:dyDescent="0.3">
      <c r="A18" s="10" t="s">
        <v>17</v>
      </c>
      <c r="B18" s="14">
        <f>(B6/B9)*B15</f>
        <v>0.16666666666666666</v>
      </c>
      <c r="C18" s="9" t="str">
        <f>INT($B18) &amp; "h " &amp; ROUND(($B18-INT($B18))*60,0) &amp; "m"</f>
        <v>0h 10m</v>
      </c>
    </row>
    <row r="19" spans="1:3" x14ac:dyDescent="0.3">
      <c r="A19" s="15" t="s">
        <v>16</v>
      </c>
      <c r="B19" s="16">
        <f>((B4*B14)*(1/B10))/60</f>
        <v>2.5919689119170981E-2</v>
      </c>
      <c r="C19" s="17" t="str">
        <f>INT($B19) &amp; "h " &amp; ROUND(($B19-INT($B19))*60,0) &amp; "m"</f>
        <v>0h 2m</v>
      </c>
    </row>
    <row r="20" spans="1:3" x14ac:dyDescent="0.3">
      <c r="A20" s="18" t="s">
        <v>19</v>
      </c>
      <c r="B20" s="23">
        <f>SUM(B17:B19)</f>
        <v>14.478300641500123</v>
      </c>
      <c r="C20" s="19" t="str">
        <f>INT($B20) &amp; "h " &amp; ROUND(($B20-INT($B20))*60,0) &amp; "m"</f>
        <v>14h 29m</v>
      </c>
    </row>
  </sheetData>
  <phoneticPr fontId="3" type="noConversion"/>
  <hyperlinks>
    <hyperlink ref="D4" r:id="rId1" xr:uid="{D75A89FE-F8F2-4E6B-81D7-8A19438FFCE0}"/>
    <hyperlink ref="D3" r:id="rId2" xr:uid="{0C956AE6-25E6-4FE9-A95C-CBF2FED3E996}"/>
    <hyperlink ref="D2" r:id="rId3" xr:uid="{7A8E5C77-E0F5-44E2-8829-119378A4B5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75FC-5BCE-4279-BEC2-9039174DDB62}">
  <dimension ref="A1:D20"/>
  <sheetViews>
    <sheetView workbookViewId="0">
      <selection activeCell="D20" sqref="D20"/>
    </sheetView>
  </sheetViews>
  <sheetFormatPr defaultRowHeight="14.4" x14ac:dyDescent="0.3"/>
  <cols>
    <col min="1" max="1" width="28.21875" bestFit="1" customWidth="1"/>
    <col min="2" max="2" width="17.109375" customWidth="1"/>
    <col min="3" max="3" width="10.88671875" style="2" customWidth="1"/>
    <col min="4" max="4" width="50.44140625" bestFit="1" customWidth="1"/>
  </cols>
  <sheetData>
    <row r="1" spans="1:4" s="1" customFormat="1" ht="15" thickBot="1" x14ac:dyDescent="0.35">
      <c r="B1" s="1" t="s">
        <v>6</v>
      </c>
      <c r="D1" s="3" t="s">
        <v>5</v>
      </c>
    </row>
    <row r="2" spans="1:4" ht="15" thickBot="1" x14ac:dyDescent="0.35">
      <c r="A2" t="s">
        <v>0</v>
      </c>
      <c r="B2" s="8" t="s">
        <v>22</v>
      </c>
      <c r="D2" s="5" t="s">
        <v>23</v>
      </c>
    </row>
    <row r="3" spans="1:4" ht="15" thickBot="1" x14ac:dyDescent="0.35">
      <c r="A3" t="s">
        <v>2</v>
      </c>
      <c r="B3" s="7">
        <v>24</v>
      </c>
      <c r="D3" s="5" t="s">
        <v>23</v>
      </c>
    </row>
    <row r="4" spans="1:4" ht="15" thickBot="1" x14ac:dyDescent="0.35">
      <c r="A4" t="s">
        <v>1</v>
      </c>
      <c r="B4" s="7">
        <v>23</v>
      </c>
      <c r="D4" s="5" t="s">
        <v>23</v>
      </c>
    </row>
    <row r="5" spans="1:4" ht="15" thickBot="1" x14ac:dyDescent="0.35">
      <c r="A5" t="s">
        <v>4</v>
      </c>
      <c r="B5" s="6">
        <v>1000</v>
      </c>
      <c r="D5" t="s">
        <v>20</v>
      </c>
    </row>
    <row r="6" spans="1:4" ht="15" thickBot="1" x14ac:dyDescent="0.35">
      <c r="A6" t="s">
        <v>3</v>
      </c>
      <c r="B6" s="7">
        <v>2.5</v>
      </c>
      <c r="D6" t="s">
        <v>20</v>
      </c>
    </row>
    <row r="7" spans="1:4" ht="15" thickBot="1" x14ac:dyDescent="0.35">
      <c r="A7" t="s">
        <v>9</v>
      </c>
      <c r="B7" s="6">
        <v>25</v>
      </c>
      <c r="D7" t="s">
        <v>20</v>
      </c>
    </row>
    <row r="8" spans="1:4" ht="15" thickBot="1" x14ac:dyDescent="0.35">
      <c r="A8" t="s">
        <v>11</v>
      </c>
      <c r="B8" s="6">
        <v>70</v>
      </c>
      <c r="D8" t="s">
        <v>20</v>
      </c>
    </row>
    <row r="9" spans="1:4" ht="15" thickBot="1" x14ac:dyDescent="0.35">
      <c r="A9" t="s">
        <v>10</v>
      </c>
      <c r="B9" s="6">
        <v>30</v>
      </c>
      <c r="D9" t="s">
        <v>20</v>
      </c>
    </row>
    <row r="10" spans="1:4" ht="15" thickBot="1" x14ac:dyDescent="0.35">
      <c r="A10" t="s">
        <v>14</v>
      </c>
      <c r="B10" s="6">
        <v>10</v>
      </c>
      <c r="D10" s="2" t="s">
        <v>15</v>
      </c>
    </row>
    <row r="11" spans="1:4" x14ac:dyDescent="0.3">
      <c r="B11" s="4"/>
    </row>
    <row r="12" spans="1:4" x14ac:dyDescent="0.3">
      <c r="A12" t="s">
        <v>7</v>
      </c>
      <c r="B12" s="4">
        <f>B3*B4</f>
        <v>552</v>
      </c>
    </row>
    <row r="13" spans="1:4" x14ac:dyDescent="0.3">
      <c r="A13" t="s">
        <v>8</v>
      </c>
      <c r="B13" s="4">
        <f>B12-B7</f>
        <v>527</v>
      </c>
      <c r="D13" s="20" t="str">
        <f>"Retains "&amp;B7&amp;" mile buffer"</f>
        <v>Retains 25 mile buffer</v>
      </c>
    </row>
    <row r="14" spans="1:4" x14ac:dyDescent="0.3">
      <c r="A14" t="s">
        <v>12</v>
      </c>
      <c r="B14" s="21">
        <f>(B5/B13)-1</f>
        <v>0.89753320683111948</v>
      </c>
      <c r="D14" s="20" t="s">
        <v>21</v>
      </c>
    </row>
    <row r="15" spans="1:4" x14ac:dyDescent="0.3">
      <c r="A15" t="s">
        <v>13</v>
      </c>
      <c r="B15" s="21">
        <f>ROUNDUP(B14,0)</f>
        <v>1</v>
      </c>
    </row>
    <row r="17" spans="1:3" x14ac:dyDescent="0.3">
      <c r="A17" s="11" t="s">
        <v>18</v>
      </c>
      <c r="B17" s="12">
        <f>B5/B8</f>
        <v>14.285714285714286</v>
      </c>
      <c r="C17" s="13" t="str">
        <f>INT($B17) &amp; "h " &amp; ROUND(($B17-INT($B17))*60,0) &amp; "m"</f>
        <v>14h 17m</v>
      </c>
    </row>
    <row r="18" spans="1:3" x14ac:dyDescent="0.3">
      <c r="A18" s="10" t="s">
        <v>17</v>
      </c>
      <c r="B18" s="14">
        <f>(B6/B9)*B15</f>
        <v>8.3333333333333329E-2</v>
      </c>
      <c r="C18" s="9" t="str">
        <f>INT($B18) &amp; "h " &amp; ROUND(($B18-INT($B18))*60,0) &amp; "m"</f>
        <v>0h 5m</v>
      </c>
    </row>
    <row r="19" spans="1:3" x14ac:dyDescent="0.3">
      <c r="A19" s="15" t="s">
        <v>16</v>
      </c>
      <c r="B19" s="16">
        <f>((B4*B14)*(1/B10))/60</f>
        <v>3.4405439595192912E-2</v>
      </c>
      <c r="C19" s="17" t="str">
        <f>INT($B19) &amp; "h " &amp; ROUND(($B19-INT($B19))*60,0) &amp; "m"</f>
        <v>0h 2m</v>
      </c>
    </row>
    <row r="20" spans="1:3" x14ac:dyDescent="0.3">
      <c r="A20" s="18" t="s">
        <v>19</v>
      </c>
      <c r="B20" s="23">
        <f>SUM(B17:B19)</f>
        <v>14.403453058642814</v>
      </c>
      <c r="C20" s="19" t="str">
        <f>INT($B20) &amp; "h " &amp; ROUND(($B20-INT($B20))*60,0) &amp; "m"</f>
        <v>14h 24m</v>
      </c>
    </row>
  </sheetData>
  <hyperlinks>
    <hyperlink ref="D2" r:id="rId1" xr:uid="{E7C8EBF5-8598-4E84-9683-83DB74D4F5D6}"/>
    <hyperlink ref="D3" r:id="rId2" xr:uid="{C1F98002-4586-478C-B6C5-AAA76EA4503F}"/>
    <hyperlink ref="D4" r:id="rId3" xr:uid="{91B6FC90-BDBE-481B-9701-0D2C02A92F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5952-F105-4228-8653-1CAB13E989BE}">
  <dimension ref="A1:D20"/>
  <sheetViews>
    <sheetView workbookViewId="0">
      <selection activeCell="D20" sqref="D20"/>
    </sheetView>
  </sheetViews>
  <sheetFormatPr defaultRowHeight="14.4" x14ac:dyDescent="0.3"/>
  <cols>
    <col min="1" max="1" width="28.21875" bestFit="1" customWidth="1"/>
    <col min="2" max="2" width="17.109375" customWidth="1"/>
    <col min="3" max="3" width="10.88671875" style="2" customWidth="1"/>
    <col min="4" max="4" width="50.44140625" bestFit="1" customWidth="1"/>
  </cols>
  <sheetData>
    <row r="1" spans="1:4" s="1" customFormat="1" ht="15" thickBot="1" x14ac:dyDescent="0.35">
      <c r="B1" s="1" t="s">
        <v>6</v>
      </c>
      <c r="D1" s="3" t="s">
        <v>5</v>
      </c>
    </row>
    <row r="2" spans="1:4" ht="15" thickBot="1" x14ac:dyDescent="0.35">
      <c r="A2" t="s">
        <v>0</v>
      </c>
      <c r="B2" s="22" t="s">
        <v>26</v>
      </c>
      <c r="D2" s="5" t="s">
        <v>25</v>
      </c>
    </row>
    <row r="3" spans="1:4" ht="15" thickBot="1" x14ac:dyDescent="0.35">
      <c r="A3" t="s">
        <v>2</v>
      </c>
      <c r="B3" s="7">
        <v>41</v>
      </c>
      <c r="D3" s="5" t="s">
        <v>25</v>
      </c>
    </row>
    <row r="4" spans="1:4" ht="15" thickBot="1" x14ac:dyDescent="0.35">
      <c r="A4" t="s">
        <v>1</v>
      </c>
      <c r="B4" s="7">
        <v>13.2</v>
      </c>
      <c r="D4" s="5" t="s">
        <v>25</v>
      </c>
    </row>
    <row r="5" spans="1:4" ht="15" thickBot="1" x14ac:dyDescent="0.35">
      <c r="A5" t="s">
        <v>4</v>
      </c>
      <c r="B5" s="6">
        <v>1000</v>
      </c>
      <c r="D5" t="s">
        <v>20</v>
      </c>
    </row>
    <row r="6" spans="1:4" ht="15" thickBot="1" x14ac:dyDescent="0.35">
      <c r="A6" t="s">
        <v>3</v>
      </c>
      <c r="B6" s="7">
        <v>2.5</v>
      </c>
      <c r="D6" t="s">
        <v>20</v>
      </c>
    </row>
    <row r="7" spans="1:4" ht="15" thickBot="1" x14ac:dyDescent="0.35">
      <c r="A7" t="s">
        <v>9</v>
      </c>
      <c r="B7" s="6">
        <v>25</v>
      </c>
      <c r="D7" t="s">
        <v>20</v>
      </c>
    </row>
    <row r="8" spans="1:4" ht="15" thickBot="1" x14ac:dyDescent="0.35">
      <c r="A8" t="s">
        <v>11</v>
      </c>
      <c r="B8" s="6">
        <v>70</v>
      </c>
      <c r="D8" t="s">
        <v>20</v>
      </c>
    </row>
    <row r="9" spans="1:4" ht="15" thickBot="1" x14ac:dyDescent="0.35">
      <c r="A9" t="s">
        <v>10</v>
      </c>
      <c r="B9" s="6">
        <v>30</v>
      </c>
      <c r="D9" t="s">
        <v>20</v>
      </c>
    </row>
    <row r="10" spans="1:4" ht="15" thickBot="1" x14ac:dyDescent="0.35">
      <c r="A10" t="s">
        <v>14</v>
      </c>
      <c r="B10" s="6">
        <v>10</v>
      </c>
      <c r="D10" s="2" t="s">
        <v>15</v>
      </c>
    </row>
    <row r="11" spans="1:4" x14ac:dyDescent="0.3">
      <c r="B11" s="4"/>
    </row>
    <row r="12" spans="1:4" x14ac:dyDescent="0.3">
      <c r="A12" t="s">
        <v>7</v>
      </c>
      <c r="B12" s="4">
        <f>B3*B4</f>
        <v>541.19999999999993</v>
      </c>
    </row>
    <row r="13" spans="1:4" x14ac:dyDescent="0.3">
      <c r="A13" t="s">
        <v>8</v>
      </c>
      <c r="B13" s="4">
        <f>B12-B7</f>
        <v>516.19999999999993</v>
      </c>
      <c r="D13" s="20" t="str">
        <f>"Retains "&amp;B7&amp;" mile buffer"</f>
        <v>Retains 25 mile buffer</v>
      </c>
    </row>
    <row r="14" spans="1:4" x14ac:dyDescent="0.3">
      <c r="A14" t="s">
        <v>12</v>
      </c>
      <c r="B14" s="21">
        <f>(B5/B13)-1</f>
        <v>0.93723363037582352</v>
      </c>
      <c r="D14" s="20" t="s">
        <v>21</v>
      </c>
    </row>
    <row r="15" spans="1:4" x14ac:dyDescent="0.3">
      <c r="A15" t="s">
        <v>13</v>
      </c>
      <c r="B15" s="21">
        <f>ROUNDUP(B14,0)</f>
        <v>1</v>
      </c>
    </row>
    <row r="17" spans="1:3" x14ac:dyDescent="0.3">
      <c r="A17" s="11" t="s">
        <v>18</v>
      </c>
      <c r="B17" s="12">
        <f>B5/B8</f>
        <v>14.285714285714286</v>
      </c>
      <c r="C17" s="13" t="str">
        <f>INT($B17) &amp; "h " &amp; ROUND(($B17-INT($B17))*60,0) &amp; "m"</f>
        <v>14h 17m</v>
      </c>
    </row>
    <row r="18" spans="1:3" x14ac:dyDescent="0.3">
      <c r="A18" s="10" t="s">
        <v>17</v>
      </c>
      <c r="B18" s="14">
        <f>(B6/B9)*B15</f>
        <v>8.3333333333333329E-2</v>
      </c>
      <c r="C18" s="9" t="str">
        <f>INT($B18) &amp; "h " &amp; ROUND(($B18-INT($B18))*60,0) &amp; "m"</f>
        <v>0h 5m</v>
      </c>
    </row>
    <row r="19" spans="1:3" x14ac:dyDescent="0.3">
      <c r="A19" s="15" t="s">
        <v>16</v>
      </c>
      <c r="B19" s="16">
        <f>((B4*B14)*(1/B10))/60</f>
        <v>2.0619139868268119E-2</v>
      </c>
      <c r="C19" s="17" t="str">
        <f>INT($B19) &amp; "h " &amp; ROUND(($B19-INT($B19))*60,0) &amp; "m"</f>
        <v>0h 1m</v>
      </c>
    </row>
    <row r="20" spans="1:3" x14ac:dyDescent="0.3">
      <c r="A20" s="18" t="s">
        <v>19</v>
      </c>
      <c r="B20" s="23">
        <f>SUM(B17:B19)</f>
        <v>14.389666758915888</v>
      </c>
      <c r="C20" s="19" t="str">
        <f>INT($B20) &amp; "h " &amp; ROUND(($B20-INT($B20))*60,0) &amp; "m"</f>
        <v>14h 23m</v>
      </c>
    </row>
  </sheetData>
  <hyperlinks>
    <hyperlink ref="D2" r:id="rId1" xr:uid="{797B317C-10E5-4819-8800-9E59778545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Toyota RAV4</vt:lpstr>
      <vt:lpstr>Ford F-150</vt:lpstr>
      <vt:lpstr>Toyota Corolla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Sobel, Aaron</dc:creator>
  <cp:lastModifiedBy>Sobel, Aaron</cp:lastModifiedBy>
  <dcterms:created xsi:type="dcterms:W3CDTF">2025-08-12T13:32:30Z</dcterms:created>
  <dcterms:modified xsi:type="dcterms:W3CDTF">2025-09-17T13:50:09Z</dcterms:modified>
</cp:coreProperties>
</file>